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fujitsu.sharepoint.com/teams/Global-5c7bbae4/Shared Documents/Japan SLM Integration - Standardisation/SAP/"/>
    </mc:Choice>
  </mc:AlternateContent>
  <xr:revisionPtr revIDLastSave="1" documentId="13_ncr:1_{E07D8C7A-4B13-41BD-B3AD-8816D192A54C}" xr6:coauthVersionLast="47" xr6:coauthVersionMax="47" xr10:uidLastSave="{2C34932C-5F74-4CFE-8B80-2C1DCA741758}"/>
  <bookViews>
    <workbookView xWindow="-110" yWindow="-110" windowWidth="19420" windowHeight="10300" activeTab="3" xr2:uid="{00000000-000D-0000-FFFF-FFFF00000000}"/>
  </bookViews>
  <sheets>
    <sheet name="Overview" sheetId="1" r:id="rId1"/>
    <sheet name="TP - Current State" sheetId="2" r:id="rId2"/>
    <sheet name="Discover" sheetId="3" r:id="rId3"/>
    <sheet name="Prepare" sheetId="4" r:id="rId4"/>
    <sheet name="Explore" sheetId="5" r:id="rId5"/>
    <sheet name="Realize" sheetId="6" r:id="rId6"/>
    <sheet name="Deploy" sheetId="7" r:id="rId7"/>
    <sheet name="Run" sheetId="8" r:id="rId8"/>
    <sheet name="Targetprocess | Storie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 l="1"/>
  <c r="D15" i="1"/>
  <c r="C15" i="1"/>
  <c r="B15" i="1"/>
  <c r="D14" i="1"/>
  <c r="D13" i="1"/>
  <c r="D12" i="1"/>
  <c r="D11" i="1"/>
  <c r="D10" i="1"/>
  <c r="D9" i="1"/>
</calcChain>
</file>

<file path=xl/sharedStrings.xml><?xml version="1.0" encoding="utf-8"?>
<sst xmlns="http://schemas.openxmlformats.org/spreadsheetml/2006/main" count="1435" uniqueCount="550">
  <si>
    <t>SAP Activate vs. Fujitsu Japan | Template Comparison Tracker</t>
  </si>
  <si>
    <t>Japan SLM Integration Standardisation  |  Apps SAP Integration Standardization Team  |  PI Planning: Apps PI5  |  Feature 182704 – Analyze Existing Methodologies and Identify Gaps</t>
  </si>
  <si>
    <t>⛔  ACTIVE BLOCKER: Access to Fujitsu Japan documents (FJ Activate 3.0) is pending Export Control approval (owner: Samta-san). The 'FJ Activate 3.0 Available' column will be updated once access is granted.</t>
  </si>
  <si>
    <t>📋  TARGETPROCESS LIVE STATUS as of 19 Feb 2026  |  Feature 182704 'Analyze Existing Methodologies': In Progress (79%)  |  Existing stories: 182714 In Progress · 182715 Done · 182724 To Do · 182725 To Do · 182726 To Do · 183124 In Progress · 185179 Done · 186064 To Do · 186179 Done  |  NEW stories to create: Parent Story + 8 Child Stories: see 'Targetprocess | Stories' tab</t>
  </si>
  <si>
    <t>PHASE SUMMARY | Status of SAP Activate and Fujitsu Japan Templates</t>
  </si>
  <si>
    <t>SAP Activate
Phase</t>
  </si>
  <si>
    <t>Mandatory
Templates (IMS)</t>
  </si>
  <si>
    <t>Optional
Templates (IMS)</t>
  </si>
  <si>
    <t>Total IMS
(Mand. + Opt.)</t>
  </si>
  <si>
    <t>SAP Templates
in SharePoint</t>
  </si>
  <si>
    <t>SharePoint
Coverage (%)</t>
  </si>
  <si>
    <t>FJ Activate 3.0
Available (est.)</t>
  </si>
  <si>
    <t>FJ
Coverage (%)</t>
  </si>
  <si>
    <t>Priority for
Iteration</t>
  </si>
  <si>
    <t>Main
Responsible</t>
  </si>
  <si>
    <t>Overall Status</t>
  </si>
  <si>
    <t>Remarks</t>
  </si>
  <si>
    <t>Discover</t>
  </si>
  <si>
    <t>4/4 (100%)</t>
  </si>
  <si>
    <t>~1/4 (25%)</t>
  </si>
  <si>
    <t>25%</t>
  </si>
  <si>
    <t>Low | already complete</t>
  </si>
  <si>
    <t>Nilesh Awaghan</t>
  </si>
  <si>
    <t>✅ SAP Complete</t>
  </si>
  <si>
    <t>All 4 mandatory SAP templates created. FJ Activate 3.0 estimated to cover only Strategic Planning.</t>
  </si>
  <si>
    <t>Prepare</t>
  </si>
  <si>
    <t>10/10 (100%)</t>
  </si>
  <si>
    <t>~4/10 (40%)</t>
  </si>
  <si>
    <t>40%</t>
  </si>
  <si>
    <t>Medium</t>
  </si>
  <si>
    <t>✅ SAP Complete / ⛔ FJ Blocked</t>
  </si>
  <si>
    <t>SAP 100% complete. FJ blocked by Export Control. Optional SAP templates not yet created.</t>
  </si>
  <si>
    <t>Explore</t>
  </si>
  <si>
    <t>73% (16/22)</t>
  </si>
  <si>
    <t>~6/22 (27%)</t>
  </si>
  <si>
    <t>27%</t>
  </si>
  <si>
    <t>HIGH | immediate focus</t>
  </si>
  <si>
    <t>Nilesh Awaghan / Lukasz F.</t>
  </si>
  <si>
    <t>🔄 SAP Partial / ⛔ FJ Blocked</t>
  </si>
  <si>
    <t>6 mandatory SAP templates still MISSING. FJ blocked. HIGHEST PRIORITY.</t>
  </si>
  <si>
    <t>Realize</t>
  </si>
  <si>
    <t>22/22 (100%)</t>
  </si>
  <si>
    <t>~14/22 (64%)</t>
  </si>
  <si>
    <t>64%</t>
  </si>
  <si>
    <t>HIGH | comparison pending</t>
  </si>
  <si>
    <t>Lukasz Filipiak / Lily G.</t>
  </si>
  <si>
    <t>All 22 mandatory created. FJ covers ~14/22 per Japanese IMS slide.</t>
  </si>
  <si>
    <t>Deploy</t>
  </si>
  <si>
    <t>8/8 (100%)</t>
  </si>
  <si>
    <t>~7/8 (88%)</t>
  </si>
  <si>
    <t>88%</t>
  </si>
  <si>
    <t>Nearly complete on both sides. FJ blocked by Export Control.</t>
  </si>
  <si>
    <t>Run</t>
  </si>
  <si>
    <t>2/2 (100%)</t>
  </si>
  <si>
    <t>100%</t>
  </si>
  <si>
    <t>Low</t>
  </si>
  <si>
    <t>Smallest phase. Both templates created. FJ estimated to cover both.</t>
  </si>
  <si>
    <t>TOTALS</t>
  </si>
  <si>
    <t>—</t>
  </si>
  <si>
    <t>STATUS LEGEND</t>
  </si>
  <si>
    <t>✅ Done / Complete</t>
  </si>
  <si>
    <t>Template created in SharePoint, or confirmed as existing in FJ Activate 3.0.</t>
  </si>
  <si>
    <t>🔄 In Progress</t>
  </si>
  <si>
    <t>Template partially completed or currently being worked on.</t>
  </si>
  <si>
    <t>❌ To Do</t>
  </si>
  <si>
    <t>Template not yet created: action required.</t>
  </si>
  <si>
    <t>⛔ Blocked</t>
  </si>
  <si>
    <t>Blocked: awaiting Export Control approval or access to Fujitsu Japan documents.</t>
  </si>
  <si>
    <t>N/A</t>
  </si>
  <si>
    <t>Not applicable for this phase or situation.</t>
  </si>
  <si>
    <t>Targetprocess | Current State as of 19 February 2026</t>
  </si>
  <si>
    <t>Source: Targetprocess Board crosscheck 'Apps Dev Team PI Objectives' captured 19/02/2026 at 10:43 · Filter: Apps PI5 · Apps SAP Integration Standardization Team · PI Objective: 'Establish the Fujitsu Integrated SAP (Private Cloud) Activate methodology': In Progress</t>
  </si>
  <si>
    <t>TP ID</t>
  </si>
  <si>
    <t>Feature / Story Title</t>
  </si>
  <si>
    <t>Type</t>
  </si>
  <si>
    <t>Effort
(Story Points)</t>
  </si>
  <si>
    <t>State</t>
  </si>
  <si>
    <t>Team Iteration</t>
  </si>
  <si>
    <t>Responsible</t>
  </si>
  <si>
    <t>Tags</t>
  </si>
  <si>
    <t>Relates To</t>
  </si>
  <si>
    <t>Notes / What This Means</t>
  </si>
  <si>
    <t>PI OBJECTIVE | Establish the Fujitsu Integrated SAP (Private Cloud) Activate methodology (ID 182702): In Progress</t>
  </si>
  <si>
    <t>FEATURE 182705 | Agreement and finalize the next plan of action for next PI: State | Planning</t>
  </si>
  <si>
    <t>182723</t>
  </si>
  <si>
    <t>1. Official Approval for Template Standard</t>
  </si>
  <si>
    <t>Story</t>
  </si>
  <si>
    <t>0</t>
  </si>
  <si>
    <t>To Do</t>
  </si>
  <si>
    <t>Apps PI5</t>
  </si>
  <si>
    <t>DO NOT USE</t>
  </si>
  <si>
    <t>Feature 182705</t>
  </si>
  <si>
    <t>Awaiting official sign-off on template standard. No effort estimated yet.</t>
  </si>
  <si>
    <t>182735</t>
  </si>
  <si>
    <t>2. Distribute Template Creation Tasks</t>
  </si>
  <si>
    <t>Tasks to distribute template creation work across team.</t>
  </si>
  <si>
    <t>182739</t>
  </si>
  <si>
    <t>3. Develop Project Kick-Off Deck Template</t>
  </si>
  <si>
    <t>Create the standard kick-off deck template.</t>
  </si>
  <si>
    <t>182740</t>
  </si>
  <si>
    <t>4. Final approval from PM and key stakeholders</t>
  </si>
  <si>
    <t>Final sign-off story: depends on all above.</t>
  </si>
  <si>
    <t>FEATURE 182704 | Analyze Existing Methodologies and Identify Gaps: State | In Progress (79%): Responsible | Pramod Tyagi</t>
  </si>
  <si>
    <t>182714</t>
  </si>
  <si>
    <t>1. Obtain FJ Methodology &amp; Templates from JGG</t>
  </si>
  <si>
    <t>2</t>
  </si>
  <si>
    <t>In Progress</t>
  </si>
  <si>
    <t>Apps PI5 Iteration 2</t>
  </si>
  <si>
    <t>Feature 182704</t>
  </si>
  <si>
    <t>Currently in progress. Kenji Saruta obtaining FJ Activate 3.0 documents from JGG. BLOCKED by Export Control pending Samta-san approval.</t>
  </si>
  <si>
    <t>182715</t>
  </si>
  <si>
    <t>2. Compile SAP Activate Accelerators &amp; Deliverables List</t>
  </si>
  <si>
    <t>4</t>
  </si>
  <si>
    <t>Done</t>
  </si>
  <si>
    <t>Apps PI5 Iteration 1</t>
  </si>
  <si>
    <t>Completed. SAP Activate accelerators and deliverables list compiled: this is the IMS list that is the basis of our tracker.</t>
  </si>
  <si>
    <t>182724</t>
  </si>
  <si>
    <t>3. FJ vs. SAP Activate Gap Analysis</t>
  </si>
  <si>
    <t>Not yet started. No effort estimated. This is WHERE the comparison tracker (our Excel file) fits: this story is what we are building.</t>
  </si>
  <si>
    <t>182725</t>
  </si>
  <si>
    <t>4. Review &amp; Validate Gap Analysis Findings</t>
  </si>
  <si>
    <t>Not yet started. Depends on 182724. Will use tracker output for review with Japan stakeholders.</t>
  </si>
  <si>
    <t>182726</t>
  </si>
  <si>
    <t>5. Map Deliverables to SAP Activate Phases</t>
  </si>
  <si>
    <t>Not yet started. Mapping of FJ deliverables against SAP Activate phases: directly relates to the phase-by-phase structure of our tracker.</t>
  </si>
  <si>
    <t>183124</t>
  </si>
  <si>
    <t>JGG Fujitsu Activate documents</t>
  </si>
  <si>
    <t>3</t>
  </si>
  <si>
    <t>Apps PI5 Iteration 3</t>
  </si>
  <si>
    <t>In progress. Relates to obtaining and managing the FJ Japan documents. Key dependency: Export Control approval from Samta-san.</t>
  </si>
  <si>
    <t>185179</t>
  </si>
  <si>
    <t>2.1 Download of Accelerators: Explore Phase</t>
  </si>
  <si>
    <t>9</t>
  </si>
  <si>
    <t>Completed. Accelerators for the Explore phase downloaded. SAP Activate templates in SharePoint confirmed.</t>
  </si>
  <si>
    <t>186064</t>
  </si>
  <si>
    <t>2.2 Templates creation</t>
  </si>
  <si>
    <t>Not yet started. Template creation task: likely relates to the 6 missing Explore phase templates we identified.</t>
  </si>
  <si>
    <t>186179</t>
  </si>
  <si>
    <t>2.1 Download of Accelerators: Realize Phase</t>
  </si>
  <si>
    <t>8</t>
  </si>
  <si>
    <t>Completed. Accelerators for the Realize phase downloaded. All 22 mandatory Realize templates confirmed in SharePoint.</t>
  </si>
  <si>
    <t>FEATURE 182703 | Define the Core Fujitsu Integrated Methodology: State | In Progress (50%): Responsible | Pramod Tyagi</t>
  </si>
  <si>
    <t>182706</t>
  </si>
  <si>
    <t>1. Agreement on the 'mandatory' IMS list for SAP Private Cloud</t>
  </si>
  <si>
    <t>5</t>
  </si>
  <si>
    <t>Feature 182703</t>
  </si>
  <si>
    <t>Completed. The IMS mandatory list has been agreed: this is the foundation of our tracker.</t>
  </si>
  <si>
    <t>182707</t>
  </si>
  <si>
    <t>2. Propose Deliverable Classifications (Mandatory/Optional...)</t>
  </si>
  <si>
    <t>Completed. Mandatory/Optional classification proposed and accepted.</t>
  </si>
  <si>
    <t>182708</t>
  </si>
  <si>
    <t>3. Alignment between JGG and GDUs on 'mandatory' and 'optional'</t>
  </si>
  <si>
    <t>Not yet started. Critical story: this is where JGG and GDU agree on the final IMS classification. Export Control dependency. MOVE TO ITERATION 3 per stand-up decision.</t>
  </si>
  <si>
    <t>182709</t>
  </si>
  <si>
    <t>4. Approval from JGG and common agreement on the minimum...</t>
  </si>
  <si>
    <t>Not yet started. Final approval from JGG: depends on 182708.</t>
  </si>
  <si>
    <t>185543</t>
  </si>
  <si>
    <t>2.1 Translation of 'optional' IMS into Japanese</t>
  </si>
  <si>
    <t>Completed. Optional IMS translated into Japanese for JGG alignment.</t>
  </si>
  <si>
    <t>186048</t>
  </si>
  <si>
    <t>3.1 Revisit 'mandatory' list of templates once documents from...</t>
  </si>
  <si>
    <t>Not yet started. Revisit mandatory list once FJ Japan documents are accessible. Directly depends on Export Control approval.</t>
  </si>
  <si>
    <t>WHAT STILL NEEDS TO BE CREATED IN TARGETPROCESS: See 'Targetprocess | Stories' tab for full detail</t>
  </si>
  <si>
    <t>NEW: Parent Story</t>
  </si>
  <si>
    <t>Compare SAP Activate Templates with Fujitsu Japan Documents</t>
  </si>
  <si>
    <t>0 → TBD</t>
  </si>
  <si>
    <t>Kenji Saruta</t>
  </si>
  <si>
    <t>New story to be created by Julia. Links to Feature 182704 as parent. Consolidates all comparison work. Responsible: Kenji Saruta. Dependency: Export Control (Samta-san).</t>
  </si>
  <si>
    <t>NEW: Child Story 1</t>
  </si>
  <si>
    <t>1. [Discover] Compare and Map Templates: Discover Phase</t>
  </si>
  <si>
    <t>Parent Story above</t>
  </si>
  <si>
    <t>New child story. Link to parent story above.</t>
  </si>
  <si>
    <t>NEW: Child Story 2</t>
  </si>
  <si>
    <t>2. [Prepare] Compare and Map Templates: Prepare Phase</t>
  </si>
  <si>
    <t>New child story.</t>
  </si>
  <si>
    <t>NEW: Child Story 3</t>
  </si>
  <si>
    <t>3. [Explore] Compare and Map Templates: Explore Phase</t>
  </si>
  <si>
    <t>New child story. HIGHEST PRIORITY: 6 SAP templates still missing in SharePoint.</t>
  </si>
  <si>
    <t>NEW: Child Story 4</t>
  </si>
  <si>
    <t>4. [Realize] Compare and Map Templates: Realize Phase</t>
  </si>
  <si>
    <t>NEW: Child Story 5</t>
  </si>
  <si>
    <t>5. [Deploy] Compare and Map Templates: Deploy Phase</t>
  </si>
  <si>
    <t>NEW: Child Story 6</t>
  </si>
  <si>
    <t>6. [Run] Compare and Map Templates: Run Phase</t>
  </si>
  <si>
    <t>NEW: Child Story 7</t>
  </si>
  <si>
    <t>7. Machine Translation of Fujitsu Japan Documents</t>
  </si>
  <si>
    <t>Pre-requisite for all other child stories. Pramod to identify bench resource.</t>
  </si>
  <si>
    <t>NEW: Child Story 8</t>
  </si>
  <si>
    <t>8. Create Comparison Tracker and Gap Analysis Report</t>
  </si>
  <si>
    <t>This Excel file IS the deliverable. Depends on stories 1-7.</t>
  </si>
  <si>
    <t>UPDATE: Existing</t>
  </si>
  <si>
    <t>Story 182708: move to Iteration 3 and add Export Control dependency</t>
  </si>
  <si>
    <t>Per stand-up decision: move from Iteration 2 to Iteration 3. Register dependency: Export Control approval (Samta-san).</t>
  </si>
  <si>
    <t>Story 182724: update scope to align with comparison tracker</t>
  </si>
  <si>
    <t>TBD</t>
  </si>
  <si>
    <t>Consider re-scoping 182724 (FJ vs SAP Gap Analysis) to reference the tracker file directly.</t>
  </si>
  <si>
    <t>SAP Activate: Discover Phase | Template Comparison Tracker</t>
  </si>
  <si>
    <t>⛔  BLOCKER: FJ Activate 3.0 Available column is blocked pending Export Control approval (Samta-san). Update when access is granted.</t>
  </si>
  <si>
    <t>IMS Classification | GREEN rows = Mandatory (must exist in every project). YELLOW rows = Optional (create project-by-project). Source: slides 12 and 14 of the Japan SLM Integration Standardisation proposal . Validated with Patty Humphrey (Fujitsu America SME). Updated by FJ Activate Team on 3 February 2026.</t>
  </si>
  <si>
    <t>IMS
Number</t>
  </si>
  <si>
    <t>Template / Deliverable Name</t>
  </si>
  <si>
    <t>IMS Classification
(Mandatory / Optional)</t>
  </si>
  <si>
    <t>SAP Activate Template
in SharePoint</t>
  </si>
  <si>
    <t>SharePoint File Name</t>
  </si>
  <si>
    <t>FJ Activate 3.0
Available</t>
  </si>
  <si>
    <t>Gap / Comparison Notes</t>
  </si>
  <si>
    <t>Responsible for
Comparison</t>
  </si>
  <si>
    <t>Last
Updated</t>
  </si>
  <si>
    <t>Additional
Comments</t>
  </si>
  <si>
    <t>1</t>
  </si>
  <si>
    <t>Strategic Planning</t>
  </si>
  <si>
    <t>Mandatory</t>
  </si>
  <si>
    <t>✅ Created</t>
  </si>
  <si>
    <t>1. SAP_Activate_Strategic_Planning_V1.docx</t>
  </si>
  <si>
    <t>SAP template created by Nilesh Awaghan, January 2026. FJ Activate 3.0 does NOT cover this template (grey on Japanese IMS slide). Relates to TP story 182715 (Done).</t>
  </si>
  <si>
    <t>Conversion Readiness Assessment</t>
  </si>
  <si>
    <t>2. SAP_Activate_Conversion_Readiness_Assessment_V1.docx</t>
  </si>
  <si>
    <t>SAP template created. Note: in practice this is a summary of the SAP Readiness Check results, not a classic Word template. Relates to TP story 182715 (Done).</t>
  </si>
  <si>
    <t>Application Value and Scoping</t>
  </si>
  <si>
    <t>3. SAP_Activate_Application_Value_and_Scoping_V1.docx</t>
  </si>
  <si>
    <t>SAP template created by Nilesh Awaghan, January 2026.</t>
  </si>
  <si>
    <t>Trial System Provisioning</t>
  </si>
  <si>
    <t>4. SAP_Activate_Trial_System_Provisioning_V1.docx</t>
  </si>
  <si>
    <t>SAP template created by Aleksandra Wojewoda, February 2026.</t>
  </si>
  <si>
    <t>CONTEXT AND NOTES | Discover Phase</t>
  </si>
  <si>
    <t>SharePoint Folder Verified</t>
  </si>
  <si>
    <t>Documents &gt; Japan SLM Integration - Standardisation &gt; SAP &gt; Document Templates &gt; 1. Discovery Phase. 4 .docx files created. Also present: 'Scope and Estimation DSS and SLM Integration.xlsx': this is the project work plan, NOT an IMS template.</t>
  </si>
  <si>
    <t>Targetprocess Connection</t>
  </si>
  <si>
    <t>The SAP accelerators compilation (TP story 182715: Done) covers this phase. All 4 mandatory templates confirmed in SharePoint via folder review.</t>
  </si>
  <si>
    <t>Why no Optional templates?</t>
  </si>
  <si>
    <t>The IMS does not define Optional templates for the Discover phase. All 4 deliverables are Mandatory.</t>
  </si>
  <si>
    <t>FJ Activate 3.0 Estimate</t>
  </si>
  <si>
    <t>Based on slide 13 of the proposal (Japanese IMS), all 4 Discover templates appear in grey = NOT available in FJ Activate 3.0. Confirm once Export Control is approved.</t>
  </si>
  <si>
    <t>SAP Activate: Prepare Phase | Template Comparison Tracker</t>
  </si>
  <si>
    <t>IMS Classification | GREEN rows = Mandatory (must exist in every project). YELLOW rows = Optional (create project-by-project). Source: slides 12 and 14 of the Japan SLM Integration Standardisation proposal. Validated with Patty Humphrey (Fujitsu America SME). Updated by FJ Activate Team on 3 February 2026.</t>
  </si>
  <si>
    <t>Transition Planning</t>
  </si>
  <si>
    <t>1. SAP_Activate_Transition_Planning_V1 (sub-folder)</t>
  </si>
  <si>
    <t>Sub-folder in SharePoint (yellow folder icon = contains multiple files). Confirm exact file contents.</t>
  </si>
  <si>
    <t>Project Initiation</t>
  </si>
  <si>
    <t>2. SAP_Activate_Project_Initiation_V1.doc</t>
  </si>
  <si>
    <t>SAP template created January 2026 by Nilesh Awaghan.</t>
  </si>
  <si>
    <t>Establish Project Governance</t>
  </si>
  <si>
    <t>3. SAP_Activate_Project_Governance_V1.docx</t>
  </si>
  <si>
    <t>SAP template created.</t>
  </si>
  <si>
    <t>Plan Project</t>
  </si>
  <si>
    <t>4. SAP_Activate_Plan_Project_V1 (sub-folder)</t>
  </si>
  <si>
    <t>Sub-folder in SharePoint. Confirm exact file contents.</t>
  </si>
  <si>
    <t>Project Kick-Off and OnBoarding</t>
  </si>
  <si>
    <t>5. SAP_Activate_Project_kickoff_&amp;_Onboarding.pptx</t>
  </si>
  <si>
    <t>PowerPoint format. SAP template created.</t>
  </si>
  <si>
    <t>6</t>
  </si>
  <si>
    <t>Project Standards, Infrastructure and Solution</t>
  </si>
  <si>
    <t>6. SAP_Activate_Project_Standards_Infrastructure_and_Solution_V1.docx</t>
  </si>
  <si>
    <t>7</t>
  </si>
  <si>
    <t>Stakeholder Analysis (RACI and Organizational Structure)</t>
  </si>
  <si>
    <t>7. SAP_Activate_Stakeholder_Matrix_V1.pptx + 7A SAP_Activate_Stakeholder_RACI_Matrix_V1.docx</t>
  </si>
  <si>
    <t>TWO files for this template: Stakeholder Matrix (pptx) and RACI Matrix (docx). Intentional split: best practice.</t>
  </si>
  <si>
    <t>Communication Analysis and Plan</t>
  </si>
  <si>
    <t>8. SAP Activate_Communication_Analysis_and_Plan_V1.docx</t>
  </si>
  <si>
    <t>Enablement Strategy</t>
  </si>
  <si>
    <t>9. SAP_Activate_Enablement_Strategy_Overview_V1.pptx</t>
  </si>
  <si>
    <t>PowerPoint format.</t>
  </si>
  <si>
    <t>10</t>
  </si>
  <si>
    <t>Phase Closure and Sign-Off Phase Deliverables</t>
  </si>
  <si>
    <t>10. SAP_Activate_Phase_SignOff_V1.docx</t>
  </si>
  <si>
    <t>Opt1</t>
  </si>
  <si>
    <t>Project Team Enablement</t>
  </si>
  <si>
    <t>Optional</t>
  </si>
  <si>
    <t>— not yet in SharePoint</t>
  </si>
  <si>
    <t>Optional. Not yet created. Create when a specific project requires it.</t>
  </si>
  <si>
    <t>To be assigned</t>
  </si>
  <si>
    <t>Opt2</t>
  </si>
  <si>
    <t>Prototype</t>
  </si>
  <si>
    <t>Optional. Not yet created.</t>
  </si>
  <si>
    <t>Opt3</t>
  </si>
  <si>
    <t>Transition Preparation</t>
  </si>
  <si>
    <t>Opt4</t>
  </si>
  <si>
    <t>Execution, Monitoring and Controlling of Results</t>
  </si>
  <si>
    <t>Opt5</t>
  </si>
  <si>
    <t>Change Concept</t>
  </si>
  <si>
    <t>Optional: Change Management concept template. Not yet created.</t>
  </si>
  <si>
    <t>Opt6</t>
  </si>
  <si>
    <t>Change Plan</t>
  </si>
  <si>
    <t>Opt7</t>
  </si>
  <si>
    <t>Learning Needs Analysis for Project Team</t>
  </si>
  <si>
    <t>Opt8</t>
  </si>
  <si>
    <t>Content Development Tool Deployment</t>
  </si>
  <si>
    <t>Opt9</t>
  </si>
  <si>
    <t>Phase Closure and Sign-Off (Optional variant)</t>
  </si>
  <si>
    <t>Optional variant for agile/iterative projects. Different from mandatory #10.</t>
  </si>
  <si>
    <t>CONTEXT AND NOTES | Prepare Phase</t>
  </si>
  <si>
    <t>Documents &gt; Japan SLM Integration - Standardisation &gt; SAP &gt; Document Templates &gt; 2. Prepare Phase. 10 files/folders created for all 10 mandatory templates. 9 optional templates not yet created: expected.</t>
  </si>
  <si>
    <t>Sub-folders in SharePoint</t>
  </si>
  <si>
    <t>Transition Planning (#1) and Plan Project (#4) appear as sub-folders (yellow icon). Verify exact file contents within those folders.</t>
  </si>
  <si>
    <t>Note on Template #7</t>
  </si>
  <si>
    <t>Stakeholder Analysis has TWO files: Stakeholder Matrix (pptx) and RACI Matrix (docx). Intentional: best practice.</t>
  </si>
  <si>
    <t>Why are Optional templates listed?</t>
  </si>
  <si>
    <t>They are part of the complete IMS (slide 14 of proposal). Listed for visibility. Create project-by-project as needed.</t>
  </si>
  <si>
    <t>SAP Activate: Explore Phase | Template Comparison Tracker</t>
  </si>
  <si>
    <t>Phase Initiation</t>
  </si>
  <si>
    <t>1. SAP_Activate_Explore_Phase_Initiation_Document_V1.docx</t>
  </si>
  <si>
    <t>Template created by Lily Gilbero (6 days ago). Also an earlier version from Jan 28 by Nilesh. Uploaded doc confirms structure: purpose, objectives, entry/exit criteria, key activities, governance, risks. Relates to TP story 185179 (Done).</t>
  </si>
  <si>
    <t>Lily Gilbero</t>
  </si>
  <si>
    <t>Activate Solution</t>
  </si>
  <si>
    <t>GAP: Mandatory template NOT yet created in SharePoint. Must be created urgently. Relates to TP story 186064 (To Do: '2.2 Templates creation').</t>
  </si>
  <si>
    <t>Fit-to-Standard Workshop Preparation</t>
  </si>
  <si>
    <t>GAP: Not yet created. Only a general summary pptx exists (1-8_SAP_Activate_Fit_To_Standard_Summary.pptx): does not replace this individual template. Relates to TP story 186064.</t>
  </si>
  <si>
    <t>Fit-to-Standard System Preparation</t>
  </si>
  <si>
    <t>GAP: Not yet created. Relates to TP story 186064.</t>
  </si>
  <si>
    <t>Fit-to-Standard Workshops and Documentation</t>
  </si>
  <si>
    <t>— not yet in SharePoint (summary pptx only)</t>
  </si>
  <si>
    <t>GAP: Not yet created individually. The summary pptx does NOT replace this. Relates to TP story 186064.</t>
  </si>
  <si>
    <t>Fit-to-Standard Workshop Validation</t>
  </si>
  <si>
    <t>3. SAP_Activate_Fit-to-Standard_Workshop_Validation_V1.docx</t>
  </si>
  <si>
    <t>SAP template created. Uploaded doc is the 'Design and Configuration Documentation Template' (SAP, July 2023).</t>
  </si>
  <si>
    <t>Design Workshops and Documentation</t>
  </si>
  <si>
    <t>Design Review and Customer Sign Off</t>
  </si>
  <si>
    <t>UX Activation and Design</t>
  </si>
  <si>
    <t>9. SAP_Activate_UX_Activation_And_Design_V1.docx</t>
  </si>
  <si>
    <t>SAP template created by Nilesh Awaghan.</t>
  </si>
  <si>
    <t>Security Design</t>
  </si>
  <si>
    <t>10. SAP_Activate_Security_Design_V1.doc</t>
  </si>
  <si>
    <t>SAP template created by Nilesh Awaghan, February 2026.</t>
  </si>
  <si>
    <t>11</t>
  </si>
  <si>
    <t>Data Volume Design</t>
  </si>
  <si>
    <t>11. SAP_Activate_Data_Volume_Design_(DVM)_V1.docx</t>
  </si>
  <si>
    <t>SAP template created by Lukasz Filipiak (6 days ago).</t>
  </si>
  <si>
    <t>Lukasz Filipiak</t>
  </si>
  <si>
    <t>12</t>
  </si>
  <si>
    <t>Data Migration Design</t>
  </si>
  <si>
    <t>12. SAP_Activate_Data_Migration_Design_V1.docx</t>
  </si>
  <si>
    <t>13</t>
  </si>
  <si>
    <t>Custom Code Impact</t>
  </si>
  <si>
    <t>13. SAP_Activate_Custom_Code_Impact_V1.docx</t>
  </si>
  <si>
    <t>14</t>
  </si>
  <si>
    <t>Integration Design</t>
  </si>
  <si>
    <t>14. SAP_Activate_Integration_Design_V1.docx</t>
  </si>
  <si>
    <t>15</t>
  </si>
  <si>
    <t>Test Planning</t>
  </si>
  <si>
    <t>15. SAP_Activate_Detailed_Test_Schedule_v1.xlsx</t>
  </si>
  <si>
    <t>Excel file (.xlsx). Created by Nilesh Awaghan, February 2026. Uploaded file confirms detailed test scheduling structure.</t>
  </si>
  <si>
    <t>16</t>
  </si>
  <si>
    <t>Sandbox Setup / Conversion</t>
  </si>
  <si>
    <t>16. SAP_Activate_Sandbox_Setup_Conversion_Document_V1.docx</t>
  </si>
  <si>
    <t>17</t>
  </si>
  <si>
    <t>DEV Setup / Conversion</t>
  </si>
  <si>
    <t>17. SAP_Activate_Dev_Setup_Conversion_Document_V1.docx</t>
  </si>
  <si>
    <t>18</t>
  </si>
  <si>
    <t>Sizing</t>
  </si>
  <si>
    <t>18. SAP_Activate_Initial_Sizing_V1.docx</t>
  </si>
  <si>
    <t>19</t>
  </si>
  <si>
    <t>Technical Architecture and Infrastructure Definition</t>
  </si>
  <si>
    <t>19. SAP_Activate_Technical_Architecture_and_Infrastructure_Definition_V1.docx</t>
  </si>
  <si>
    <t>20</t>
  </si>
  <si>
    <t>Technical Design</t>
  </si>
  <si>
    <t>20. SAP_Activate_Technical_Design_V1.docx</t>
  </si>
  <si>
    <t>21</t>
  </si>
  <si>
    <t>Communication Plan Execution</t>
  </si>
  <si>
    <t>21. SAP_Activate_Communication_Plan_Execution_V1.docx</t>
  </si>
  <si>
    <t>22</t>
  </si>
  <si>
    <t>22. SAP_Activate_Phase Closure and Sign-Off phase Deliverables_V1.docx</t>
  </si>
  <si>
    <t>Learning Needs Analysis for Users</t>
  </si>
  <si>
    <t>Analytics Design</t>
  </si>
  <si>
    <t>Operations Impact Evaluation</t>
  </si>
  <si>
    <t>Execution / Monitoring / Controlling Results</t>
  </si>
  <si>
    <t>Release and Sprint Plan</t>
  </si>
  <si>
    <t>Optional. Relevant for agile projects. Not yet created.</t>
  </si>
  <si>
    <t>CONTEXT AND NOTES | Explore Phase</t>
  </si>
  <si>
    <t>Documents &gt; Japan SLM Integration - Standardisation &gt; SAP &gt; Document Templates &gt; 3. Explore Phase. Folder review from February 2026. 16 files found. 6 mandatory IMS templates MISSING: Activate Solution (#2), Fit-to-Standard Workshop Preparation (#3), Fit-to-Standard System Preparation (#4), Fit-to-Standard Workshops and Documentation (#5), Design Workshops and Documentation (#7), Design Review and Customer Sign Off (#8).</t>
  </si>
  <si>
    <t>TP story 185179 'Download of Accelerators: Explore Phase' is Done. TP story 186064 '2.2 Templates creation' is To Do: this is likely where the 6 missing templates will be created.</t>
  </si>
  <si>
    <t>URGENT: 6 Missing SAP Templates</t>
  </si>
  <si>
    <t>Templates #2, #3, #4, #5, #7, #8 are mandatory IMS but not yet in SharePoint. Create these before starting the FJ comparison. Update TP story 186064 when done.</t>
  </si>
  <si>
    <t>Note on Summary File</t>
  </si>
  <si>
    <t>The file '1-8_SAP_Activate_Fit_To_Standard_Summary.pptx' is a general summary and does NOT replace the individual mandatory templates.</t>
  </si>
  <si>
    <t>Based on slide 13 of proposal (Japanese IMS), approximately 6/22 = 27% of Explore templates are available in FJ Activate 3.0. Confirm once Export Control approved.</t>
  </si>
  <si>
    <t>SAP Activate: Realize Phase | Template Comparison Tracker</t>
  </si>
  <si>
    <t>1.PHASE INITIATION – Realize Phase.docx</t>
  </si>
  <si>
    <t>Created by Lukasz Filipiak (5 days ago). Shown in yellow on Japanese IMS slide = available in FJ Activate 3.0. Relates to TP story 186179 (Done).</t>
  </si>
  <si>
    <t>Plan Realize Phase</t>
  </si>
  <si>
    <t>2.PLAN REALIZE PHASE – Realize Phase.docx</t>
  </si>
  <si>
    <t>Created by Lukasz Filipiak (5 days ago). Shown in yellow on Japanese IMS slide = available in FJ Activate 3.0.</t>
  </si>
  <si>
    <t>Configuration: Introduction</t>
  </si>
  <si>
    <t>3.CONFIGURATION – Realize Phase.docx</t>
  </si>
  <si>
    <t>Created by Lukasz Filipiak. Documents the initiation of the SAP configuration process.</t>
  </si>
  <si>
    <t>Configuration: Handover</t>
  </si>
  <si>
    <t>4.CONFIGURATION – Realize Phase.docx</t>
  </si>
  <si>
    <t>Created by Lukasz Filipiak. Documents configuration handover between teams.</t>
  </si>
  <si>
    <t>Configuration: Main Configuration</t>
  </si>
  <si>
    <t>5.CONFIGURATION - MAIN CONFIGURATION – Realize Phase.docx</t>
  </si>
  <si>
    <t>Created by Lukasz Filipiak. Central document for recording all SAP configuration settings.</t>
  </si>
  <si>
    <t>Configuration: Unit Test</t>
  </si>
  <si>
    <t>6.CONFIGURATION -UNIT TEST – Realize Phase.docx</t>
  </si>
  <si>
    <t>Created by Lukasz Filipiak.</t>
  </si>
  <si>
    <t>Configuration: Bug Fixing</t>
  </si>
  <si>
    <t>7.Configuration – Bug Fixing– Realize Phase.docx</t>
  </si>
  <si>
    <t>Configuration: Documentation</t>
  </si>
  <si>
    <t>8.Configuration – Documentation– Realize Phase.docx</t>
  </si>
  <si>
    <t>Security Implementation</t>
  </si>
  <si>
    <t>9.Security – Implementation - Realize Phase.docx</t>
  </si>
  <si>
    <t>Created by Lily Gilbero. Documents SAP roles, authorizations, and security measures.</t>
  </si>
  <si>
    <t>Data Volume Management Configuration</t>
  </si>
  <si>
    <t>10.Data Volume Management – Configuration -Realize Phase.docx</t>
  </si>
  <si>
    <t>Created by Lukasz Filipiak. Documents archiving strategy and data management approach.</t>
  </si>
  <si>
    <t>Integration Validation</t>
  </si>
  <si>
    <t>11.Integration Validation - Realize Phase.docx</t>
  </si>
  <si>
    <t>Data Migration and Verification</t>
  </si>
  <si>
    <t>12_Data Migration &amp; Verification.xlsx</t>
  </si>
  <si>
    <t>Excel file created by Lily Gilbero (6 days ago). Documents data migration plan and verification criteria.</t>
  </si>
  <si>
    <t>Custom Code Quality</t>
  </si>
  <si>
    <t>13_SAP_Activate_Realize_Custom_Code_Quality_Standard.docx</t>
  </si>
  <si>
    <t>Created by Lily Gilbero. Defines quality standards for custom developments.</t>
  </si>
  <si>
    <t>Integration Implementation</t>
  </si>
  <si>
    <t>14_SAP_Activate_Realize_Integration_Implementation_Standard.docx</t>
  </si>
  <si>
    <t>Created by Lily Gilbero.</t>
  </si>
  <si>
    <t>Test Preparation</t>
  </si>
  <si>
    <t>15&amp;16_Test Preparation and Test Execution.xlsm</t>
  </si>
  <si>
    <t>Excel with macros. Templates #15 and #16 combined into one file by Lily Gilbero: pragmatic decision, always used together.</t>
  </si>
  <si>
    <t>Test Execution</t>
  </si>
  <si>
    <t>15&amp;16_Test Preparation and Test Execution.xlsm (combined with #15)</t>
  </si>
  <si>
    <t>Combined with template #15. See note above.</t>
  </si>
  <si>
    <t>QAS (Quality Assurance System) Setup / Conversion</t>
  </si>
  <si>
    <t>Created by Lily Gilbero. Intentionally reuses Dev Setup Conversion file from Explore phase, adapted for QAS environment. Consider renaming for clarity.</t>
  </si>
  <si>
    <t>IT Infrastructure Setup</t>
  </si>
  <si>
    <t>18_SAP_Activate_Realize_IT_Infrastructure_Setup_Standard.docx</t>
  </si>
  <si>
    <t>Cutover Preparation and Plan</t>
  </si>
  <si>
    <t>19_Cutover Preparation &amp; Plan_EN_XX.xlsm</t>
  </si>
  <si>
    <t>Excel with macros created by Lily Gilbero, February 2026. IMS NOTE: listed as a separate deliverable outside the standard Activate phase master.</t>
  </si>
  <si>
    <t>Detailed Change Impact Analysis</t>
  </si>
  <si>
    <t>20_Detailed Change Impact Analysis_v1.0.pptx</t>
  </si>
  <si>
    <t>PowerPoint created by Lily Gilbero, February 2026.</t>
  </si>
  <si>
    <t>Enablement Delivery</t>
  </si>
  <si>
    <t>21_Enablement Delivery Overview.pptx</t>
  </si>
  <si>
    <t>22_Phase Closure and Sign-Off Phase Deliverables.docx</t>
  </si>
  <si>
    <t>Enablement Content Development</t>
  </si>
  <si>
    <t>Sprint Initiation (Iterative)</t>
  </si>
  <si>
    <t>Optional: for agile/iterative projects. Not yet created.</t>
  </si>
  <si>
    <t>Execution Plan for Realize Phase</t>
  </si>
  <si>
    <t>Configuration: String Test</t>
  </si>
  <si>
    <t>Optional: cross-module integration testing. Shown in yellow on Japanese IMS slide = available in FJ Activate 3.0. Higher likelihood of being needed.</t>
  </si>
  <si>
    <t>Configuration: Solution Walk-Through</t>
  </si>
  <si>
    <t>Product Enhancements</t>
  </si>
  <si>
    <t>UX Implementation</t>
  </si>
  <si>
    <t>Optional: Fiori / user interface implementation. Not yet created.</t>
  </si>
  <si>
    <t>Sprint Closing</t>
  </si>
  <si>
    <t>Optional: for agile projects. Not yet created.</t>
  </si>
  <si>
    <t>Signoff Sprint Results</t>
  </si>
  <si>
    <t>Opt10</t>
  </si>
  <si>
    <t>Analytics Configuration</t>
  </si>
  <si>
    <t>Opt11</t>
  </si>
  <si>
    <t>Sizing and Scalability Verification</t>
  </si>
  <si>
    <t>Optional. Shown in yellow on Japanese IMS slide = available in FJ Activate 3.0. Higher likelihood of being needed.</t>
  </si>
  <si>
    <t>Opt12</t>
  </si>
  <si>
    <t>Operations Implementation</t>
  </si>
  <si>
    <t>Opt13</t>
  </si>
  <si>
    <t>Execution, Monitoring and Controlling Results</t>
  </si>
  <si>
    <t>CONTEXT AND NOTES | Realize Phase</t>
  </si>
  <si>
    <t>Documents &gt; Japan SLM Integration - Standardisation &gt; SAP &gt; Document Templates &gt; 4. Realize Phase. All 22 mandatory templates created. Lukasz Filipiak: templates 1-11. Lily Gilbero: templates 12-22.</t>
  </si>
  <si>
    <t>TP story 186179 'Download of Accelerators: Realize Phase' is Done. This confirms all SAP Realize accelerators were downloaded and templates created.</t>
  </si>
  <si>
    <t>Note on Combined Templates #15 and #16</t>
  </si>
  <si>
    <t>Test Preparation and Test Execution combined in one .xlsm file. Tracker registers both pointing to the same file.</t>
  </si>
  <si>
    <t>Note on Template #17: QAS Setup</t>
  </si>
  <si>
    <t>Reuses Dev Setup Conversion file from Explore. Intentional reuse: same structure, different environment. Consider renaming the file.</t>
  </si>
  <si>
    <t>Based on slide 13 of proposal (Japanese IMS), approximately 14/22 = 64% of Realize templates available in FJ Activate 3.0. Among optionals: Opt4 (String Test) and Opt11 (Sizing Verification) also available.</t>
  </si>
  <si>
    <t>Why are 13 Optional templates listed?</t>
  </si>
  <si>
    <t>They are part of the complete Realize IMS (slide 14). None created yet: normal. Opt2 (Sprint Initiation) and Opt8 (Sprint Closing) only relevant for agile projects.</t>
  </si>
  <si>
    <t>SAP Activate: Deploy Phase | Template Comparison Tracker</t>
  </si>
  <si>
    <t>1. SAP_Activate_Phase Initiation_V1.docx</t>
  </si>
  <si>
    <t>2. SAP_Activate_Integration_Validation_V1.docx</t>
  </si>
  <si>
    <t>Operations Readiness</t>
  </si>
  <si>
    <t>3. SAP_Activate_Operations_Readiness_V1.docx</t>
  </si>
  <si>
    <t>Release Closing</t>
  </si>
  <si>
    <t>4. SAP_Activate_Release_Closing_V1 (sub-folder)</t>
  </si>
  <si>
    <t>Sub-folder in SharePoint (yellow icon). Confirm exact file contents.</t>
  </si>
  <si>
    <t>Production Cutover</t>
  </si>
  <si>
    <t>5. SAP_Activate_Production_Cutover_PPT_V1.pptx + _V1.docx + _V1.xls</t>
  </si>
  <si>
    <t>THREE files: PowerPoint (presentation), Word (plan), Excel (checklist). Multi-format approach is a best practice.</t>
  </si>
  <si>
    <t>Hyper Care Support</t>
  </si>
  <si>
    <t>6. SAP_Activate_Hyper_Care_Support_V1.docx</t>
  </si>
  <si>
    <t>Handover to Support Organization</t>
  </si>
  <si>
    <t>7. SAP_Activate_Handover_to_Support_Organization_V1.docx</t>
  </si>
  <si>
    <t>Project Closure and Sign-Off Project Deliverables</t>
  </si>
  <si>
    <t>8. SAP_Activate_Project_Closure_&amp;_Signoff_V1.docx</t>
  </si>
  <si>
    <t>Dress Rehearsal</t>
  </si>
  <si>
    <t>Optional: full go-live rehearsal. Especially recommended for high-complexity migrations. Not yet created.</t>
  </si>
  <si>
    <t>Optional: monitoring template during Deploy. Not yet created.</t>
  </si>
  <si>
    <t>CONTEXT AND NOTES | Deploy Phase</t>
  </si>
  <si>
    <t>Documents &gt; Japan SLM Integration - Standardisation &gt; SAP &gt; Document Templates &gt; 5. Deploy Phase. All 8 mandatory templates created. Release Closing (#4) is a sub-folder: verify contents.</t>
  </si>
  <si>
    <t>Note on Production Cutover (#5)</t>
  </si>
  <si>
    <t>Three files: PowerPoint, Word, Excel. Multi-format coverage is a best practice for cutover communications.</t>
  </si>
  <si>
    <t>2 optional templates (Dress Rehearsal and Execution Monitoring) are part of the IMS for Deploy (slide 14). Dress Rehearsal is particularly recommended for complex migrations.</t>
  </si>
  <si>
    <t>SAP Activate: Run Phase | Template Comparison Tracker</t>
  </si>
  <si>
    <t>Operate Solution</t>
  </si>
  <si>
    <t>1. SAP_Activate_Operate_Solution_V1.docx</t>
  </si>
  <si>
    <t>SAP template created by Nilesh Awaghan, January 2026. Shown in yellow on Japanese IMS slide = available in FJ Activate 3.0.</t>
  </si>
  <si>
    <t>Improve and Innovate Solution</t>
  </si>
  <si>
    <t>2. SAP_Activate_Improve_and_Innovate_Solution_V1.docx</t>
  </si>
  <si>
    <t>CONTEXT AND NOTES | Run Phase</t>
  </si>
  <si>
    <t>Documents &gt; Japan SLM Integration - Standardisation &gt; SAP &gt; Document Templates &gt; 6. Run Phase. 2 files created. Smallest phase: 2 mandatory, 0 optional.</t>
  </si>
  <si>
    <t>FJ Activate 3.0 Status</t>
  </si>
  <si>
    <t>Both Run templates available in FJ Activate 3.0 (yellow on Japanese IMS slide). Only phase where FJ and SAP have full estimated coverage (100%).</t>
  </si>
  <si>
    <t>The IMS does not define optional templates for the Run phase.</t>
  </si>
  <si>
    <t>Targetprocess | Stories to Create | Feature 182704 'Analyze Existing Methodologies and Identify Gaps'</t>
  </si>
  <si>
    <t>Context: Feature 182704 currently has 9 existing stories (IDs: 182714 In Progress, 182715 Done, 182724 To Do, 182725 To Do, 182726 To Do, 183124 In Progress, 185179 Done, 186064 To Do, 186179 Done). The stories below are NEW and complement the existing ones. They specifically capture the SAP vs. FJ template comparison work.</t>
  </si>
  <si>
    <t>What is a Dependency?: An external condition that MUST be met before a story can be completed. Registered in the 'Dependency' field in Targetprocess. MAIN DEPENDENCY for all stories here: Export Control approval from Samta-san: without this, the team cannot access Fujitsu Japan documents and no SAP vs. FJ comparison can take place. Story 8 also depends on stories 1-7 being sufficiently advanced.</t>
  </si>
  <si>
    <t>Story Title in Targetprocess</t>
  </si>
  <si>
    <t>SAP Phase</t>
  </si>
  <si>
    <t>Story Points
(Estimate)</t>
  </si>
  <si>
    <t>Initial
State</t>
  </si>
  <si>
    <t>Responsible
(Assignee)</t>
  </si>
  <si>
    <t>Dependency
(what is blocking)</t>
  </si>
  <si>
    <t>Acceptance Criteria (summary)</t>
  </si>
  <si>
    <t>Priority</t>
  </si>
  <si>
    <t>Planning
Interval</t>
  </si>
  <si>
    <t>Notes for Julia: Targetprocess Fields to Fill In</t>
  </si>
  <si>
    <t>PARENT STORY</t>
  </si>
  <si>
    <t>All 6 Phases</t>
  </si>
  <si>
    <t>0 → Update after scoping</t>
  </si>
  <si>
    <t>Export Control approval (Samta-san): without this the FJ Japan documents cannot be accessed</t>
  </si>
  <si>
    <t>Template scope confirmed | Auto-translation complete | Files in SharePoint dedicated folder | Comparison tracker (this file) created | Dependencies registered | Feedback from Nilesh and Japan stakeholders captured</t>
  </si>
  <si>
    <t>HIGH</t>
  </si>
  <si>
    <t>Create inside Feature 182704. Field 'Responsible': Kenji Saruta. Field 'Contributor': Nilesh Awaghan. Field 'Dependency': 'Awaiting Export Control approval: Samta-san'. Tags: DO NOT USE. This story sits alongside existing stories 182724, 182725, 182726 which cover related but broader gap analysis work.</t>
  </si>
  <si>
    <t>CHILD STORY</t>
  </si>
  <si>
    <t>Kenji Saruta / Nilesh Awaghan</t>
  </si>
  <si>
    <t>Export Control approval (Samta-san)</t>
  </si>
  <si>
    <t>4 mandatory SAP templates reviewed | FJ Activate 3.0 equivalents identified or gap documented | Tracker filled for Discover phase</t>
  </si>
  <si>
    <t>Link to parent story above. 4 templates only: SAP side complete. Quick to do once Export Control approved.</t>
  </si>
  <si>
    <t>10 mandatory templates reviewed | 9 optional templates assessed | FJ equivalents mapped | Gaps documented</t>
  </si>
  <si>
    <t>Link to parent story. 10 mandatory + 9 optional = most complex by number of optionals.</t>
  </si>
  <si>
    <t>Kenji Saruta / Nilesh Awaghan / Lukasz Filipiak</t>
  </si>
  <si>
    <t>Export Control approval (Samta-san) + 6 missing SAP templates must be created first (relates to TP story 186064)</t>
  </si>
  <si>
    <t>22 mandatory SAP templates reviewed | 6 missing SAP templates created (TP 186064) | 5 optionals assessed | FJ mapped | Gaps documented</t>
  </si>
  <si>
    <t>HIGHEST PRIORITY. Note: 6 mandatory SAP templates still missing (relates to existing story 186064 'Templates creation'). Create those first. Additional dependency on story 186064 being completed.</t>
  </si>
  <si>
    <t>Kenji Saruta / Lukasz Filipiak / Lily Gilbero</t>
  </si>
  <si>
    <t>22 mandatory SAP templates reviewed | FJ equivalents confirmed (~14/22) | 13 optionals assessed | Gaps documented</t>
  </si>
  <si>
    <t>Most extensive phase: 22 mandatory + 13 optional. All 22 SAP mandatory templates already exist (confirmed via story 186179 Done). FJ estimated 64% coverage.</t>
  </si>
  <si>
    <t>8 mandatory templates reviewed | 2 optionals assessed | FJ mapped | Gaps documented</t>
  </si>
  <si>
    <t>Link to parent story. SAP side complete. Relatively straightforward.</t>
  </si>
  <si>
    <t>2 mandatory templates reviewed | FJ equivalents confirmed | Tracker filled for Run phase</t>
  </si>
  <si>
    <t>Smallest phase. 2 templates only. FJ estimated to cover both.</t>
  </si>
  <si>
    <t>All Phases</t>
  </si>
  <si>
    <t>Export Control approval (Samta-san) + Access to Fujitsu Japan documents (story 182714 In Progress)</t>
  </si>
  <si>
    <t>FJ Japan documents uploaded to SharePoint dedicated translation folder | Auto-translation complete for priority templates | Files organised by phase</t>
  </si>
  <si>
    <t>PRE-REQUISITE for child stories 1-6. Relates to existing story 182714 ('Obtain FJ Methodology &amp; Templates from JGG': In Progress). Pramod Tyagi (Product Owner) to identify bench resource for human review after auto-translation.</t>
  </si>
  <si>
    <t>Child stories 1-7 complete or sufficiently advanced</t>
  </si>
  <si>
    <t>Comparison tracker (this Excel file) fully populated | Gap analysis documented | Japan stakeholder feedback captured | Final comparison report created</t>
  </si>
  <si>
    <t>This Excel file IS the deliverable for this story. Will be updated progressively. Relates to existing stories 182724 (FJ vs SAP Gap Analysis: To Do) and 182725 (Review &amp; Validate: To Do).</t>
  </si>
  <si>
    <t>UPDATE EXISTING</t>
  </si>
  <si>
    <t>Story 182708: move to Iteration 3 + add Export Control dependency</t>
  </si>
  <si>
    <t>Story moved to Iteration 3 | Dependency field updated: 'Awaiting Export Control approval: Samta-san'</t>
  </si>
  <si>
    <t>ACTION FOR JULIA: Open story 182708 'Alignment between JGG and GDUs on mandatory and optional'. Change Team Iteration from Iteration 2 to Iteration 3. Add to Dependency field: 'Awaiting Export Control approval (Samta-san)'. This was decided in the stand-up meeting of 19/02/2026.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</si>
</sst>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rgb="FFFFFFFF"/>
      <name val="Arial"/>
    </font>
    <font>
      <i/>
      <sz val="10"/>
      <color rgb="FF424242"/>
      <name val="Arial"/>
    </font>
    <font>
      <i/>
      <sz val="9"/>
      <color rgb="FFB71C1C"/>
      <name val="Arial"/>
    </font>
    <font>
      <i/>
      <sz val="9"/>
      <color rgb="FF1A237E"/>
      <name val="Arial"/>
    </font>
    <font>
      <b/>
      <sz val="11"/>
      <color rgb="FFFFFFFF"/>
      <name val="Arial"/>
    </font>
    <font>
      <b/>
      <sz val="9"/>
      <color rgb="FFFFFFFF"/>
      <name val="Arial"/>
    </font>
    <font>
      <b/>
      <sz val="10"/>
      <color rgb="FF212121"/>
      <name val="Arial"/>
    </font>
    <font>
      <sz val="10"/>
      <color rgb="FF212121"/>
      <name val="Arial"/>
    </font>
    <font>
      <b/>
      <sz val="10"/>
      <color rgb="FFFFFFFF"/>
      <name val="Arial"/>
    </font>
    <font>
      <b/>
      <sz val="14"/>
      <color rgb="FFFFFFFF"/>
      <name val="Arial"/>
    </font>
    <font>
      <b/>
      <sz val="13"/>
      <color rgb="FFFFFFFF"/>
      <name val="Arial"/>
    </font>
  </fonts>
  <fills count="25">
    <fill>
      <patternFill patternType="none"/>
    </fill>
    <fill>
      <patternFill patternType="gray125"/>
    </fill>
    <fill>
      <patternFill patternType="solid">
        <fgColor rgb="FF00695C"/>
      </patternFill>
    </fill>
    <fill>
      <patternFill patternType="solid">
        <fgColor rgb="FFF1F8E9"/>
      </patternFill>
    </fill>
    <fill>
      <patternFill patternType="solid">
        <fgColor rgb="FFFFEBEE"/>
      </patternFill>
    </fill>
    <fill>
      <patternFill patternType="solid">
        <fgColor rgb="FFE8EAF6"/>
      </patternFill>
    </fill>
    <fill>
      <patternFill patternType="solid">
        <fgColor rgb="FF1B5E20"/>
      </patternFill>
    </fill>
    <fill>
      <patternFill patternType="solid">
        <fgColor rgb="FF2E7D32"/>
      </patternFill>
    </fill>
    <fill>
      <patternFill patternType="solid">
        <fgColor rgb="FFE8F5E9"/>
      </patternFill>
    </fill>
    <fill>
      <patternFill patternType="solid">
        <fgColor rgb="FFE3F2FD"/>
      </patternFill>
    </fill>
    <fill>
      <patternFill patternType="solid">
        <fgColor rgb="FFFFF9C4"/>
      </patternFill>
    </fill>
    <fill>
      <patternFill patternType="solid">
        <fgColor rgb="FFFCE4EC"/>
      </patternFill>
    </fill>
    <fill>
      <patternFill patternType="solid">
        <fgColor rgb="FFF3E5F5"/>
      </patternFill>
    </fill>
    <fill>
      <patternFill patternType="solid">
        <fgColor rgb="FFE0F7FA"/>
      </patternFill>
    </fill>
    <fill>
      <patternFill patternType="solid">
        <fgColor rgb="FFA5D6A7"/>
      </patternFill>
    </fill>
    <fill>
      <patternFill patternType="solid">
        <fgColor rgb="FFF5F5F5"/>
      </patternFill>
    </fill>
    <fill>
      <patternFill patternType="solid">
        <fgColor rgb="FFFFE082"/>
      </patternFill>
    </fill>
    <fill>
      <patternFill patternType="solid">
        <fgColor rgb="FFFFCDD2"/>
      </patternFill>
    </fill>
    <fill>
      <patternFill patternType="solid">
        <fgColor rgb="FFFFAB91"/>
      </patternFill>
    </fill>
    <fill>
      <patternFill patternType="solid">
        <fgColor rgb="FFEEEEEE"/>
      </patternFill>
    </fill>
    <fill>
      <patternFill patternType="solid">
        <fgColor rgb="FF37474F"/>
      </patternFill>
    </fill>
    <fill>
      <patternFill patternType="solid">
        <fgColor rgb="FF1565C0"/>
      </patternFill>
    </fill>
    <fill>
      <patternFill patternType="solid">
        <fgColor rgb="FFBBDEFB"/>
      </patternFill>
    </fill>
    <fill>
      <patternFill patternType="solid">
        <fgColor rgb="FFC8E6C9"/>
      </patternFill>
    </fill>
    <fill>
      <patternFill patternType="solid">
        <fgColor rgb="FFFAFAFA"/>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51">
    <xf numFmtId="0" fontId="0" fillId="0" borderId="0" xfId="0"/>
    <xf numFmtId="0" fontId="6" fillId="7" borderId="1" xfId="0" applyFont="1" applyFill="1" applyBorder="1" applyAlignment="1">
      <alignment horizontal="center" vertical="center" wrapText="1"/>
    </xf>
    <xf numFmtId="0" fontId="7" fillId="8" borderId="1"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8" fillId="9" borderId="1" xfId="0" applyFont="1" applyFill="1" applyBorder="1" applyAlignment="1">
      <alignment horizontal="center" vertical="center" wrapText="1"/>
    </xf>
    <xf numFmtId="0" fontId="7" fillId="10" borderId="1" xfId="0" applyFont="1" applyFill="1" applyBorder="1" applyAlignment="1">
      <alignment horizontal="left" vertical="center" wrapText="1"/>
    </xf>
    <xf numFmtId="0" fontId="8" fillId="10" borderId="1" xfId="0" applyFont="1" applyFill="1" applyBorder="1" applyAlignment="1">
      <alignment horizontal="center" vertical="center" wrapText="1"/>
    </xf>
    <xf numFmtId="0" fontId="7" fillId="11" borderId="1" xfId="0" applyFont="1" applyFill="1" applyBorder="1" applyAlignment="1">
      <alignment horizontal="left" vertical="center" wrapText="1"/>
    </xf>
    <xf numFmtId="0" fontId="8" fillId="11" borderId="1" xfId="0" applyFont="1" applyFill="1" applyBorder="1" applyAlignment="1">
      <alignment horizontal="center" vertical="center" wrapText="1"/>
    </xf>
    <xf numFmtId="0" fontId="7" fillId="12" borderId="1" xfId="0" applyFont="1" applyFill="1" applyBorder="1" applyAlignment="1">
      <alignment horizontal="left" vertical="center" wrapText="1"/>
    </xf>
    <xf numFmtId="0" fontId="8" fillId="12" borderId="1" xfId="0" applyFont="1" applyFill="1" applyBorder="1" applyAlignment="1">
      <alignment horizontal="center" vertical="center" wrapText="1"/>
    </xf>
    <xf numFmtId="0" fontId="7" fillId="13" borderId="1" xfId="0" applyFont="1" applyFill="1" applyBorder="1" applyAlignment="1">
      <alignment horizontal="left" vertical="center" wrapText="1"/>
    </xf>
    <xf numFmtId="0" fontId="8" fillId="13"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7" fillId="8"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7" fillId="17" borderId="1"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7" fillId="19"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8" fillId="17" borderId="1" xfId="0" applyFont="1" applyFill="1" applyBorder="1" applyAlignment="1">
      <alignment horizontal="center" vertical="center" wrapText="1"/>
    </xf>
    <xf numFmtId="0" fontId="8" fillId="17" borderId="1" xfId="0" applyFont="1" applyFill="1" applyBorder="1" applyAlignment="1">
      <alignment horizontal="left" vertical="center" wrapText="1"/>
    </xf>
    <xf numFmtId="0" fontId="8" fillId="16" borderId="1" xfId="0" applyFont="1" applyFill="1" applyBorder="1" applyAlignment="1">
      <alignment horizontal="center" vertical="center" wrapText="1"/>
    </xf>
    <xf numFmtId="0" fontId="8" fillId="16" borderId="1" xfId="0" applyFont="1" applyFill="1" applyBorder="1" applyAlignment="1">
      <alignment horizontal="left" vertical="center" wrapText="1"/>
    </xf>
    <xf numFmtId="0" fontId="8" fillId="14" borderId="1" xfId="0" applyFont="1" applyFill="1" applyBorder="1" applyAlignment="1">
      <alignment horizontal="center" vertical="center" wrapText="1"/>
    </xf>
    <xf numFmtId="0" fontId="8" fillId="14" borderId="1" xfId="0" applyFont="1" applyFill="1" applyBorder="1" applyAlignment="1">
      <alignment horizontal="left" vertical="center" wrapText="1"/>
    </xf>
    <xf numFmtId="0" fontId="7" fillId="22" borderId="1" xfId="0" applyFont="1" applyFill="1" applyBorder="1" applyAlignment="1">
      <alignment horizontal="center" vertical="center" wrapText="1"/>
    </xf>
    <xf numFmtId="0" fontId="7" fillId="22" borderId="1" xfId="0" applyFont="1" applyFill="1" applyBorder="1" applyAlignment="1">
      <alignment horizontal="left" vertical="center" wrapText="1"/>
    </xf>
    <xf numFmtId="0" fontId="8" fillId="10" borderId="1" xfId="0" applyFont="1" applyFill="1" applyBorder="1" applyAlignment="1">
      <alignment horizontal="left" vertical="center" wrapText="1"/>
    </xf>
    <xf numFmtId="0" fontId="7" fillId="23" borderId="1" xfId="0" applyFont="1" applyFill="1" applyBorder="1" applyAlignment="1">
      <alignment horizontal="center" vertical="center" wrapText="1"/>
    </xf>
    <xf numFmtId="0" fontId="7" fillId="23" borderId="1" xfId="0" applyFont="1" applyFill="1" applyBorder="1" applyAlignment="1">
      <alignment horizontal="left" vertical="center" wrapText="1"/>
    </xf>
    <xf numFmtId="0" fontId="8" fillId="24" borderId="1" xfId="0" applyFont="1" applyFill="1" applyBorder="1" applyAlignment="1">
      <alignment horizontal="left" vertical="center" wrapText="1"/>
    </xf>
    <xf numFmtId="0" fontId="8" fillId="18" borderId="1" xfId="0" applyFont="1" applyFill="1" applyBorder="1" applyAlignment="1">
      <alignment horizontal="center" vertical="center" wrapText="1"/>
    </xf>
    <xf numFmtId="0" fontId="8" fillId="24"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7" fillId="16" borderId="1" xfId="0" applyFont="1" applyFill="1" applyBorder="1" applyAlignment="1">
      <alignment horizontal="left" vertical="center" wrapText="1"/>
    </xf>
    <xf numFmtId="0" fontId="1" fillId="2" borderId="0" xfId="0" applyFont="1" applyFill="1" applyAlignment="1">
      <alignment horizontal="center" vertical="center"/>
    </xf>
    <xf numFmtId="0" fontId="0" fillId="0" borderId="0" xfId="0"/>
    <xf numFmtId="0" fontId="8" fillId="15" borderId="1" xfId="0" applyFont="1" applyFill="1" applyBorder="1" applyAlignment="1">
      <alignment horizontal="left" vertical="center" wrapText="1"/>
    </xf>
    <xf numFmtId="0" fontId="2" fillId="3" borderId="0" xfId="0" applyFont="1" applyFill="1" applyAlignment="1">
      <alignment horizontal="center" vertical="center"/>
    </xf>
    <xf numFmtId="0" fontId="9" fillId="6" borderId="1" xfId="0" applyFont="1" applyFill="1" applyBorder="1" applyAlignment="1">
      <alignment horizontal="center" vertical="center" wrapText="1"/>
    </xf>
    <xf numFmtId="0" fontId="3" fillId="4" borderId="0" xfId="0" applyFont="1" applyFill="1" applyAlignment="1">
      <alignment horizontal="left" vertical="center" wrapText="1"/>
    </xf>
    <xf numFmtId="0" fontId="5" fillId="6" borderId="1" xfId="0" applyFont="1" applyFill="1" applyBorder="1" applyAlignment="1">
      <alignment horizontal="center" vertical="center" wrapText="1"/>
    </xf>
    <xf numFmtId="0" fontId="4" fillId="5" borderId="0" xfId="0" applyFont="1" applyFill="1" applyAlignment="1">
      <alignment horizontal="left" vertical="center" wrapText="1"/>
    </xf>
    <xf numFmtId="0" fontId="10" fillId="2" borderId="0" xfId="0" applyFont="1" applyFill="1" applyAlignment="1">
      <alignment horizontal="center" vertical="center"/>
    </xf>
    <xf numFmtId="0" fontId="9" fillId="7" borderId="0" xfId="0" applyFont="1" applyFill="1" applyAlignment="1">
      <alignment horizontal="left" vertical="center"/>
    </xf>
    <xf numFmtId="0" fontId="6" fillId="21" borderId="0" xfId="0" applyFont="1" applyFill="1" applyAlignment="1">
      <alignment horizontal="left" vertical="center"/>
    </xf>
    <xf numFmtId="0" fontId="6" fillId="20" borderId="0" xfId="0" applyFont="1" applyFill="1" applyAlignment="1">
      <alignment horizontal="left" vertical="center"/>
    </xf>
    <xf numFmtId="0" fontId="1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showGridLines="0" workbookViewId="0">
      <pane ySplit="7" topLeftCell="A8" activePane="bottomLeft" state="frozen"/>
      <selection pane="bottomLeft" activeCell="B8" sqref="B8"/>
    </sheetView>
  </sheetViews>
  <sheetFormatPr defaultRowHeight="14.5" x14ac:dyDescent="0.35"/>
  <cols>
    <col min="1" max="1" width="22" customWidth="1"/>
    <col min="2" max="3" width="20" customWidth="1"/>
    <col min="4" max="4" width="16" customWidth="1"/>
    <col min="5" max="5" width="20" customWidth="1"/>
    <col min="6" max="6" width="18" customWidth="1"/>
    <col min="7" max="7" width="22" customWidth="1"/>
    <col min="8" max="8" width="14" customWidth="1"/>
    <col min="9" max="9" width="22" customWidth="1"/>
    <col min="10" max="10" width="26" customWidth="1"/>
    <col min="11" max="11" width="28" customWidth="1"/>
    <col min="12" max="12" width="50" customWidth="1"/>
  </cols>
  <sheetData>
    <row r="1" spans="1:12" ht="30" customHeight="1" x14ac:dyDescent="0.35">
      <c r="A1" s="38" t="s">
        <v>0</v>
      </c>
      <c r="B1" s="39"/>
      <c r="C1" s="39"/>
      <c r="D1" s="39"/>
      <c r="E1" s="39"/>
      <c r="F1" s="39"/>
      <c r="G1" s="39"/>
      <c r="H1" s="39"/>
      <c r="I1" s="39"/>
      <c r="J1" s="39"/>
      <c r="K1" s="39"/>
      <c r="L1" s="39"/>
    </row>
    <row r="2" spans="1:12" ht="6" customHeight="1" x14ac:dyDescent="0.35">
      <c r="A2" s="39"/>
      <c r="B2" s="39"/>
      <c r="C2" s="39"/>
      <c r="D2" s="39"/>
      <c r="E2" s="39"/>
      <c r="F2" s="39"/>
      <c r="G2" s="39"/>
      <c r="H2" s="39"/>
      <c r="I2" s="39"/>
      <c r="J2" s="39"/>
      <c r="K2" s="39"/>
      <c r="L2" s="39"/>
    </row>
    <row r="3" spans="1:12" ht="18" customHeight="1" x14ac:dyDescent="0.35">
      <c r="A3" s="41" t="s">
        <v>1</v>
      </c>
      <c r="B3" s="39"/>
      <c r="C3" s="39"/>
      <c r="D3" s="39"/>
      <c r="E3" s="39"/>
      <c r="F3" s="39"/>
      <c r="G3" s="39"/>
      <c r="H3" s="39"/>
      <c r="I3" s="39"/>
      <c r="J3" s="39"/>
      <c r="K3" s="39"/>
      <c r="L3" s="39"/>
    </row>
    <row r="4" spans="1:12" ht="28.15" customHeight="1" x14ac:dyDescent="0.35">
      <c r="A4" s="43" t="s">
        <v>2</v>
      </c>
      <c r="B4" s="39"/>
      <c r="C4" s="39"/>
      <c r="D4" s="39"/>
      <c r="E4" s="39"/>
      <c r="F4" s="39"/>
      <c r="G4" s="39"/>
      <c r="H4" s="39"/>
      <c r="I4" s="39"/>
      <c r="J4" s="39"/>
      <c r="K4" s="39"/>
      <c r="L4" s="39"/>
    </row>
    <row r="5" spans="1:12" ht="36" customHeight="1" x14ac:dyDescent="0.35">
      <c r="A5" s="45" t="s">
        <v>3</v>
      </c>
      <c r="B5" s="39"/>
      <c r="C5" s="39"/>
      <c r="D5" s="39"/>
      <c r="E5" s="39"/>
      <c r="F5" s="39"/>
      <c r="G5" s="39"/>
      <c r="H5" s="39"/>
      <c r="I5" s="39"/>
      <c r="J5" s="39"/>
      <c r="K5" s="39"/>
      <c r="L5" s="39"/>
    </row>
    <row r="6" spans="1:12" ht="7.9" customHeight="1" x14ac:dyDescent="0.35"/>
    <row r="7" spans="1:12" ht="22.15" customHeight="1" x14ac:dyDescent="0.35">
      <c r="A7" s="44" t="s">
        <v>4</v>
      </c>
      <c r="B7" s="39"/>
      <c r="C7" s="39"/>
      <c r="D7" s="39"/>
      <c r="E7" s="39"/>
      <c r="F7" s="39"/>
      <c r="G7" s="39"/>
      <c r="H7" s="39"/>
      <c r="I7" s="39"/>
      <c r="J7" s="39"/>
      <c r="K7" s="39"/>
      <c r="L7" s="39"/>
    </row>
    <row r="8" spans="1:12" ht="52.15" customHeight="1" x14ac:dyDescent="0.35">
      <c r="A8" s="1" t="s">
        <v>5</v>
      </c>
      <c r="B8" s="1" t="s">
        <v>6</v>
      </c>
      <c r="C8" s="1" t="s">
        <v>7</v>
      </c>
      <c r="D8" s="1" t="s">
        <v>8</v>
      </c>
      <c r="E8" s="1" t="s">
        <v>9</v>
      </c>
      <c r="F8" s="1" t="s">
        <v>10</v>
      </c>
      <c r="G8" s="1" t="s">
        <v>11</v>
      </c>
      <c r="H8" s="1" t="s">
        <v>12</v>
      </c>
      <c r="I8" s="1" t="s">
        <v>13</v>
      </c>
      <c r="J8" s="1" t="s">
        <v>14</v>
      </c>
      <c r="K8" s="1" t="s">
        <v>15</v>
      </c>
      <c r="L8" s="1" t="s">
        <v>16</v>
      </c>
    </row>
    <row r="9" spans="1:12" ht="36" customHeight="1" x14ac:dyDescent="0.35">
      <c r="A9" s="2" t="s">
        <v>17</v>
      </c>
      <c r="B9" s="3">
        <v>4</v>
      </c>
      <c r="C9" s="3">
        <v>0</v>
      </c>
      <c r="D9" s="3">
        <f t="shared" ref="D9:D14" si="0">B9+C9</f>
        <v>4</v>
      </c>
      <c r="E9" s="3">
        <v>4</v>
      </c>
      <c r="F9" s="3" t="s">
        <v>18</v>
      </c>
      <c r="G9" s="3" t="s">
        <v>19</v>
      </c>
      <c r="H9" s="3" t="s">
        <v>20</v>
      </c>
      <c r="I9" s="3" t="s">
        <v>21</v>
      </c>
      <c r="J9" s="3" t="s">
        <v>22</v>
      </c>
      <c r="K9" s="3" t="s">
        <v>23</v>
      </c>
      <c r="L9" s="3" t="s">
        <v>24</v>
      </c>
    </row>
    <row r="10" spans="1:12" ht="36" customHeight="1" x14ac:dyDescent="0.35">
      <c r="A10" s="4" t="s">
        <v>25</v>
      </c>
      <c r="B10" s="5">
        <v>10</v>
      </c>
      <c r="C10" s="5">
        <v>9</v>
      </c>
      <c r="D10" s="5">
        <f t="shared" si="0"/>
        <v>19</v>
      </c>
      <c r="E10" s="5">
        <v>10</v>
      </c>
      <c r="F10" s="5" t="s">
        <v>26</v>
      </c>
      <c r="G10" s="5" t="s">
        <v>27</v>
      </c>
      <c r="H10" s="5" t="s">
        <v>28</v>
      </c>
      <c r="I10" s="5" t="s">
        <v>29</v>
      </c>
      <c r="J10" s="5" t="s">
        <v>22</v>
      </c>
      <c r="K10" s="5" t="s">
        <v>30</v>
      </c>
      <c r="L10" s="5" t="s">
        <v>31</v>
      </c>
    </row>
    <row r="11" spans="1:12" ht="36" customHeight="1" x14ac:dyDescent="0.35">
      <c r="A11" s="6" t="s">
        <v>32</v>
      </c>
      <c r="B11" s="7">
        <v>22</v>
      </c>
      <c r="C11" s="7">
        <v>5</v>
      </c>
      <c r="D11" s="7">
        <f t="shared" si="0"/>
        <v>27</v>
      </c>
      <c r="E11" s="7">
        <v>16</v>
      </c>
      <c r="F11" s="7" t="s">
        <v>33</v>
      </c>
      <c r="G11" s="7" t="s">
        <v>34</v>
      </c>
      <c r="H11" s="7" t="s">
        <v>35</v>
      </c>
      <c r="I11" s="7" t="s">
        <v>36</v>
      </c>
      <c r="J11" s="7" t="s">
        <v>37</v>
      </c>
      <c r="K11" s="7" t="s">
        <v>38</v>
      </c>
      <c r="L11" s="7" t="s">
        <v>39</v>
      </c>
    </row>
    <row r="12" spans="1:12" ht="36" customHeight="1" x14ac:dyDescent="0.35">
      <c r="A12" s="8" t="s">
        <v>40</v>
      </c>
      <c r="B12" s="9">
        <v>22</v>
      </c>
      <c r="C12" s="9">
        <v>13</v>
      </c>
      <c r="D12" s="9">
        <f t="shared" si="0"/>
        <v>35</v>
      </c>
      <c r="E12" s="9">
        <v>22</v>
      </c>
      <c r="F12" s="9" t="s">
        <v>41</v>
      </c>
      <c r="G12" s="9" t="s">
        <v>42</v>
      </c>
      <c r="H12" s="9" t="s">
        <v>43</v>
      </c>
      <c r="I12" s="9" t="s">
        <v>44</v>
      </c>
      <c r="J12" s="9" t="s">
        <v>45</v>
      </c>
      <c r="K12" s="9" t="s">
        <v>30</v>
      </c>
      <c r="L12" s="9" t="s">
        <v>46</v>
      </c>
    </row>
    <row r="13" spans="1:12" ht="36" customHeight="1" x14ac:dyDescent="0.35">
      <c r="A13" s="10" t="s">
        <v>47</v>
      </c>
      <c r="B13" s="11">
        <v>8</v>
      </c>
      <c r="C13" s="11">
        <v>2</v>
      </c>
      <c r="D13" s="11">
        <f t="shared" si="0"/>
        <v>10</v>
      </c>
      <c r="E13" s="11">
        <v>8</v>
      </c>
      <c r="F13" s="11" t="s">
        <v>48</v>
      </c>
      <c r="G13" s="11" t="s">
        <v>49</v>
      </c>
      <c r="H13" s="11" t="s">
        <v>50</v>
      </c>
      <c r="I13" s="11" t="s">
        <v>29</v>
      </c>
      <c r="J13" s="11" t="s">
        <v>22</v>
      </c>
      <c r="K13" s="11" t="s">
        <v>30</v>
      </c>
      <c r="L13" s="11" t="s">
        <v>51</v>
      </c>
    </row>
    <row r="14" spans="1:12" ht="36" customHeight="1" x14ac:dyDescent="0.35">
      <c r="A14" s="12" t="s">
        <v>52</v>
      </c>
      <c r="B14" s="13">
        <v>2</v>
      </c>
      <c r="C14" s="13">
        <v>0</v>
      </c>
      <c r="D14" s="13">
        <f t="shared" si="0"/>
        <v>2</v>
      </c>
      <c r="E14" s="13">
        <v>2</v>
      </c>
      <c r="F14" s="13" t="s">
        <v>53</v>
      </c>
      <c r="G14" s="13" t="s">
        <v>53</v>
      </c>
      <c r="H14" s="13" t="s">
        <v>54</v>
      </c>
      <c r="I14" s="13" t="s">
        <v>55</v>
      </c>
      <c r="J14" s="13" t="s">
        <v>22</v>
      </c>
      <c r="K14" s="13" t="s">
        <v>23</v>
      </c>
      <c r="L14" s="13" t="s">
        <v>56</v>
      </c>
    </row>
    <row r="15" spans="1:12" ht="22.15" customHeight="1" x14ac:dyDescent="0.35">
      <c r="A15" s="14" t="s">
        <v>57</v>
      </c>
      <c r="B15" s="15">
        <f>SUM(B9:B14)</f>
        <v>68</v>
      </c>
      <c r="C15" s="15">
        <f>SUM(C9:C14)</f>
        <v>29</v>
      </c>
      <c r="D15" s="15">
        <f>SUM(D9:D14)</f>
        <v>97</v>
      </c>
      <c r="E15" s="15">
        <f>SUM(E9:E14)</f>
        <v>62</v>
      </c>
      <c r="F15" s="15" t="s">
        <v>58</v>
      </c>
      <c r="G15" s="15" t="s">
        <v>58</v>
      </c>
      <c r="H15" s="15" t="s">
        <v>58</v>
      </c>
      <c r="I15" s="15" t="s">
        <v>58</v>
      </c>
      <c r="J15" s="15" t="s">
        <v>58</v>
      </c>
      <c r="K15" s="15" t="s">
        <v>58</v>
      </c>
      <c r="L15" s="15" t="s">
        <v>58</v>
      </c>
    </row>
    <row r="17" spans="1:5" ht="19.899999999999999" customHeight="1" x14ac:dyDescent="0.35">
      <c r="A17" s="42" t="s">
        <v>59</v>
      </c>
      <c r="B17" s="39"/>
      <c r="C17" s="39"/>
      <c r="D17" s="39"/>
      <c r="E17" s="39"/>
    </row>
    <row r="18" spans="1:5" ht="19.899999999999999" customHeight="1" x14ac:dyDescent="0.35">
      <c r="A18" s="16" t="s">
        <v>60</v>
      </c>
      <c r="B18" s="40" t="s">
        <v>61</v>
      </c>
      <c r="C18" s="39"/>
      <c r="D18" s="39"/>
      <c r="E18" s="39"/>
    </row>
    <row r="19" spans="1:5" ht="19.899999999999999" customHeight="1" x14ac:dyDescent="0.35">
      <c r="A19" s="17" t="s">
        <v>62</v>
      </c>
      <c r="B19" s="40" t="s">
        <v>63</v>
      </c>
      <c r="C19" s="39"/>
      <c r="D19" s="39"/>
      <c r="E19" s="39"/>
    </row>
    <row r="20" spans="1:5" ht="19.899999999999999" customHeight="1" x14ac:dyDescent="0.35">
      <c r="A20" s="18" t="s">
        <v>64</v>
      </c>
      <c r="B20" s="40" t="s">
        <v>65</v>
      </c>
      <c r="C20" s="39"/>
      <c r="D20" s="39"/>
      <c r="E20" s="39"/>
    </row>
    <row r="21" spans="1:5" ht="19.899999999999999" customHeight="1" x14ac:dyDescent="0.35">
      <c r="A21" s="19" t="s">
        <v>66</v>
      </c>
      <c r="B21" s="40" t="s">
        <v>67</v>
      </c>
      <c r="C21" s="39"/>
      <c r="D21" s="39"/>
      <c r="E21" s="39"/>
    </row>
    <row r="22" spans="1:5" ht="19.899999999999999" customHeight="1" x14ac:dyDescent="0.35">
      <c r="A22" s="20" t="s">
        <v>68</v>
      </c>
      <c r="B22" s="40" t="s">
        <v>69</v>
      </c>
      <c r="C22" s="39"/>
      <c r="D22" s="39"/>
      <c r="E22" s="39"/>
    </row>
  </sheetData>
  <mergeCells count="11">
    <mergeCell ref="B22:E22"/>
    <mergeCell ref="A4:L4"/>
    <mergeCell ref="B18:E18"/>
    <mergeCell ref="A7:L7"/>
    <mergeCell ref="A5:L5"/>
    <mergeCell ref="B21:E21"/>
    <mergeCell ref="A1:L2"/>
    <mergeCell ref="B19:E19"/>
    <mergeCell ref="B20:E20"/>
    <mergeCell ref="A3:L3"/>
    <mergeCell ref="A17:E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0"/>
  <sheetViews>
    <sheetView showGridLines="0" topLeftCell="B1" workbookViewId="0">
      <pane ySplit="4" topLeftCell="A8" activePane="bottomLeft" state="frozen"/>
      <selection pane="bottomLeft" activeCell="B14" sqref="B14"/>
    </sheetView>
  </sheetViews>
  <sheetFormatPr defaultRowHeight="14.5" x14ac:dyDescent="0.35"/>
  <cols>
    <col min="1" max="1" width="20" customWidth="1"/>
    <col min="2" max="2" width="52" customWidth="1"/>
    <col min="3" max="3" width="10" customWidth="1"/>
    <col min="4" max="4" width="14" customWidth="1"/>
    <col min="5" max="5" width="12" customWidth="1"/>
    <col min="6" max="6" width="22" customWidth="1"/>
    <col min="7" max="7" width="18" customWidth="1"/>
    <col min="8" max="8" width="12" customWidth="1"/>
    <col min="9" max="9" width="20" customWidth="1"/>
    <col min="10" max="10" width="55" customWidth="1"/>
  </cols>
  <sheetData>
    <row r="1" spans="1:10" ht="28.15" customHeight="1" x14ac:dyDescent="0.35">
      <c r="A1" s="46" t="s">
        <v>70</v>
      </c>
      <c r="B1" s="39"/>
      <c r="C1" s="39"/>
      <c r="D1" s="39"/>
      <c r="E1" s="39"/>
      <c r="F1" s="39"/>
      <c r="G1" s="39"/>
      <c r="H1" s="39"/>
      <c r="I1" s="39"/>
      <c r="J1" s="39"/>
    </row>
    <row r="2" spans="1:10" ht="6" customHeight="1" x14ac:dyDescent="0.35">
      <c r="A2" s="39"/>
      <c r="B2" s="39"/>
      <c r="C2" s="39"/>
      <c r="D2" s="39"/>
      <c r="E2" s="39"/>
      <c r="F2" s="39"/>
      <c r="G2" s="39"/>
      <c r="H2" s="39"/>
      <c r="I2" s="39"/>
      <c r="J2" s="39"/>
    </row>
    <row r="3" spans="1:10" ht="36" customHeight="1" x14ac:dyDescent="0.35">
      <c r="A3" s="45" t="s">
        <v>71</v>
      </c>
      <c r="B3" s="39"/>
      <c r="C3" s="39"/>
      <c r="D3" s="39"/>
      <c r="E3" s="39"/>
      <c r="F3" s="39"/>
      <c r="G3" s="39"/>
      <c r="H3" s="39"/>
      <c r="I3" s="39"/>
      <c r="J3" s="39"/>
    </row>
    <row r="4" spans="1:10" ht="6" customHeight="1" x14ac:dyDescent="0.35"/>
    <row r="5" spans="1:10" ht="40.15" customHeight="1" x14ac:dyDescent="0.35">
      <c r="A5" s="21" t="s">
        <v>72</v>
      </c>
      <c r="B5" s="21" t="s">
        <v>73</v>
      </c>
      <c r="C5" s="21" t="s">
        <v>74</v>
      </c>
      <c r="D5" s="21" t="s">
        <v>75</v>
      </c>
      <c r="E5" s="21" t="s">
        <v>76</v>
      </c>
      <c r="F5" s="21" t="s">
        <v>77</v>
      </c>
      <c r="G5" s="21" t="s">
        <v>78</v>
      </c>
      <c r="H5" s="21" t="s">
        <v>79</v>
      </c>
      <c r="I5" s="21" t="s">
        <v>80</v>
      </c>
      <c r="J5" s="21" t="s">
        <v>81</v>
      </c>
    </row>
    <row r="6" spans="1:10" ht="22.15" customHeight="1" x14ac:dyDescent="0.35">
      <c r="A6" s="47" t="s">
        <v>82</v>
      </c>
      <c r="B6" s="39"/>
      <c r="C6" s="39"/>
      <c r="D6" s="39"/>
      <c r="E6" s="39"/>
      <c r="F6" s="39"/>
      <c r="G6" s="39"/>
      <c r="H6" s="39"/>
      <c r="I6" s="39"/>
      <c r="J6" s="39"/>
    </row>
    <row r="7" spans="1:10" ht="18" customHeight="1" x14ac:dyDescent="0.35">
      <c r="A7" s="49" t="s">
        <v>83</v>
      </c>
      <c r="B7" s="39"/>
      <c r="C7" s="39"/>
      <c r="D7" s="39"/>
      <c r="E7" s="39"/>
      <c r="F7" s="39"/>
      <c r="G7" s="39"/>
      <c r="H7" s="39"/>
      <c r="I7" s="39"/>
      <c r="J7" s="39"/>
    </row>
    <row r="8" spans="1:10" ht="28.15" customHeight="1" x14ac:dyDescent="0.35">
      <c r="A8" s="22" t="s">
        <v>84</v>
      </c>
      <c r="B8" s="23" t="s">
        <v>85</v>
      </c>
      <c r="C8" s="22" t="s">
        <v>86</v>
      </c>
      <c r="D8" s="22" t="s">
        <v>87</v>
      </c>
      <c r="E8" s="22" t="s">
        <v>88</v>
      </c>
      <c r="F8" s="23" t="s">
        <v>89</v>
      </c>
      <c r="G8" s="23" t="s">
        <v>58</v>
      </c>
      <c r="H8" s="23" t="s">
        <v>90</v>
      </c>
      <c r="I8" s="23" t="s">
        <v>91</v>
      </c>
      <c r="J8" s="23" t="s">
        <v>92</v>
      </c>
    </row>
    <row r="9" spans="1:10" ht="28.15" customHeight="1" x14ac:dyDescent="0.35">
      <c r="A9" s="22" t="s">
        <v>93</v>
      </c>
      <c r="B9" s="23" t="s">
        <v>94</v>
      </c>
      <c r="C9" s="22" t="s">
        <v>86</v>
      </c>
      <c r="D9" s="22" t="s">
        <v>87</v>
      </c>
      <c r="E9" s="22" t="s">
        <v>88</v>
      </c>
      <c r="F9" s="23" t="s">
        <v>89</v>
      </c>
      <c r="G9" s="23" t="s">
        <v>58</v>
      </c>
      <c r="H9" s="23" t="s">
        <v>90</v>
      </c>
      <c r="I9" s="23" t="s">
        <v>91</v>
      </c>
      <c r="J9" s="23" t="s">
        <v>95</v>
      </c>
    </row>
    <row r="10" spans="1:10" ht="28.15" customHeight="1" x14ac:dyDescent="0.35">
      <c r="A10" s="22" t="s">
        <v>96</v>
      </c>
      <c r="B10" s="23" t="s">
        <v>97</v>
      </c>
      <c r="C10" s="22" t="s">
        <v>86</v>
      </c>
      <c r="D10" s="22" t="s">
        <v>87</v>
      </c>
      <c r="E10" s="22" t="s">
        <v>88</v>
      </c>
      <c r="F10" s="23" t="s">
        <v>89</v>
      </c>
      <c r="G10" s="23" t="s">
        <v>58</v>
      </c>
      <c r="H10" s="23" t="s">
        <v>90</v>
      </c>
      <c r="I10" s="23" t="s">
        <v>91</v>
      </c>
      <c r="J10" s="23" t="s">
        <v>98</v>
      </c>
    </row>
    <row r="11" spans="1:10" ht="28.15" customHeight="1" x14ac:dyDescent="0.35">
      <c r="A11" s="22" t="s">
        <v>99</v>
      </c>
      <c r="B11" s="23" t="s">
        <v>100</v>
      </c>
      <c r="C11" s="22" t="s">
        <v>86</v>
      </c>
      <c r="D11" s="22" t="s">
        <v>87</v>
      </c>
      <c r="E11" s="22" t="s">
        <v>88</v>
      </c>
      <c r="F11" s="23" t="s">
        <v>89</v>
      </c>
      <c r="G11" s="23" t="s">
        <v>58</v>
      </c>
      <c r="H11" s="23" t="s">
        <v>90</v>
      </c>
      <c r="I11" s="23" t="s">
        <v>91</v>
      </c>
      <c r="J11" s="23" t="s">
        <v>101</v>
      </c>
    </row>
    <row r="12" spans="1:10" ht="18" customHeight="1" x14ac:dyDescent="0.35">
      <c r="A12" s="48" t="s">
        <v>102</v>
      </c>
      <c r="B12" s="39"/>
      <c r="C12" s="39"/>
      <c r="D12" s="39"/>
      <c r="E12" s="39"/>
      <c r="F12" s="39"/>
      <c r="G12" s="39"/>
      <c r="H12" s="39"/>
      <c r="I12" s="39"/>
      <c r="J12" s="39"/>
    </row>
    <row r="13" spans="1:10" ht="42" customHeight="1" x14ac:dyDescent="0.35">
      <c r="A13" s="24" t="s">
        <v>103</v>
      </c>
      <c r="B13" s="25" t="s">
        <v>104</v>
      </c>
      <c r="C13" s="24" t="s">
        <v>86</v>
      </c>
      <c r="D13" s="24" t="s">
        <v>105</v>
      </c>
      <c r="E13" s="24" t="s">
        <v>106</v>
      </c>
      <c r="F13" s="25" t="s">
        <v>107</v>
      </c>
      <c r="G13" s="25" t="s">
        <v>58</v>
      </c>
      <c r="H13" s="25" t="s">
        <v>90</v>
      </c>
      <c r="I13" s="25" t="s">
        <v>108</v>
      </c>
      <c r="J13" s="25" t="s">
        <v>109</v>
      </c>
    </row>
    <row r="14" spans="1:10" ht="31.9" customHeight="1" x14ac:dyDescent="0.35">
      <c r="A14" s="26" t="s">
        <v>110</v>
      </c>
      <c r="B14" s="27" t="s">
        <v>111</v>
      </c>
      <c r="C14" s="26" t="s">
        <v>86</v>
      </c>
      <c r="D14" s="26" t="s">
        <v>112</v>
      </c>
      <c r="E14" s="26" t="s">
        <v>113</v>
      </c>
      <c r="F14" s="27" t="s">
        <v>114</v>
      </c>
      <c r="G14" s="27" t="s">
        <v>58</v>
      </c>
      <c r="H14" s="27" t="s">
        <v>90</v>
      </c>
      <c r="I14" s="27" t="s">
        <v>108</v>
      </c>
      <c r="J14" s="27" t="s">
        <v>115</v>
      </c>
    </row>
    <row r="15" spans="1:10" ht="46.15" customHeight="1" x14ac:dyDescent="0.35">
      <c r="A15" s="22" t="s">
        <v>116</v>
      </c>
      <c r="B15" s="23" t="s">
        <v>117</v>
      </c>
      <c r="C15" s="22" t="s">
        <v>86</v>
      </c>
      <c r="D15" s="22" t="s">
        <v>87</v>
      </c>
      <c r="E15" s="22" t="s">
        <v>88</v>
      </c>
      <c r="F15" s="23" t="s">
        <v>58</v>
      </c>
      <c r="G15" s="23" t="s">
        <v>58</v>
      </c>
      <c r="H15" s="23" t="s">
        <v>90</v>
      </c>
      <c r="I15" s="23" t="s">
        <v>108</v>
      </c>
      <c r="J15" s="23" t="s">
        <v>118</v>
      </c>
    </row>
    <row r="16" spans="1:10" ht="31.9" customHeight="1" x14ac:dyDescent="0.35">
      <c r="A16" s="22" t="s">
        <v>119</v>
      </c>
      <c r="B16" s="23" t="s">
        <v>120</v>
      </c>
      <c r="C16" s="22" t="s">
        <v>86</v>
      </c>
      <c r="D16" s="22" t="s">
        <v>87</v>
      </c>
      <c r="E16" s="22" t="s">
        <v>88</v>
      </c>
      <c r="F16" s="23" t="s">
        <v>58</v>
      </c>
      <c r="G16" s="23" t="s">
        <v>58</v>
      </c>
      <c r="H16" s="23" t="s">
        <v>90</v>
      </c>
      <c r="I16" s="23" t="s">
        <v>108</v>
      </c>
      <c r="J16" s="23" t="s">
        <v>121</v>
      </c>
    </row>
    <row r="17" spans="1:10" ht="31.9" customHeight="1" x14ac:dyDescent="0.35">
      <c r="A17" s="22" t="s">
        <v>122</v>
      </c>
      <c r="B17" s="23" t="s">
        <v>123</v>
      </c>
      <c r="C17" s="22" t="s">
        <v>86</v>
      </c>
      <c r="D17" s="22" t="s">
        <v>87</v>
      </c>
      <c r="E17" s="22" t="s">
        <v>88</v>
      </c>
      <c r="F17" s="23" t="s">
        <v>58</v>
      </c>
      <c r="G17" s="23" t="s">
        <v>58</v>
      </c>
      <c r="H17" s="23" t="s">
        <v>90</v>
      </c>
      <c r="I17" s="23" t="s">
        <v>108</v>
      </c>
      <c r="J17" s="23" t="s">
        <v>124</v>
      </c>
    </row>
    <row r="18" spans="1:10" ht="31.9" customHeight="1" x14ac:dyDescent="0.35">
      <c r="A18" s="24" t="s">
        <v>125</v>
      </c>
      <c r="B18" s="25" t="s">
        <v>126</v>
      </c>
      <c r="C18" s="24" t="s">
        <v>86</v>
      </c>
      <c r="D18" s="24" t="s">
        <v>127</v>
      </c>
      <c r="E18" s="24" t="s">
        <v>106</v>
      </c>
      <c r="F18" s="25" t="s">
        <v>128</v>
      </c>
      <c r="G18" s="25" t="s">
        <v>58</v>
      </c>
      <c r="H18" s="25" t="s">
        <v>90</v>
      </c>
      <c r="I18" s="25" t="s">
        <v>108</v>
      </c>
      <c r="J18" s="25" t="s">
        <v>129</v>
      </c>
    </row>
    <row r="19" spans="1:10" ht="31.9" customHeight="1" x14ac:dyDescent="0.35">
      <c r="A19" s="26" t="s">
        <v>130</v>
      </c>
      <c r="B19" s="27" t="s">
        <v>131</v>
      </c>
      <c r="C19" s="26" t="s">
        <v>86</v>
      </c>
      <c r="D19" s="26" t="s">
        <v>132</v>
      </c>
      <c r="E19" s="26" t="s">
        <v>113</v>
      </c>
      <c r="F19" s="27" t="s">
        <v>107</v>
      </c>
      <c r="G19" s="27" t="s">
        <v>58</v>
      </c>
      <c r="H19" s="27" t="s">
        <v>90</v>
      </c>
      <c r="I19" s="27" t="s">
        <v>108</v>
      </c>
      <c r="J19" s="27" t="s">
        <v>133</v>
      </c>
    </row>
    <row r="20" spans="1:10" ht="31.9" customHeight="1" x14ac:dyDescent="0.35">
      <c r="A20" s="22" t="s">
        <v>134</v>
      </c>
      <c r="B20" s="23" t="s">
        <v>135</v>
      </c>
      <c r="C20" s="22" t="s">
        <v>86</v>
      </c>
      <c r="D20" s="22" t="s">
        <v>87</v>
      </c>
      <c r="E20" s="22" t="s">
        <v>88</v>
      </c>
      <c r="F20" s="23" t="s">
        <v>128</v>
      </c>
      <c r="G20" s="23" t="s">
        <v>58</v>
      </c>
      <c r="H20" s="23" t="s">
        <v>90</v>
      </c>
      <c r="I20" s="23" t="s">
        <v>108</v>
      </c>
      <c r="J20" s="23" t="s">
        <v>136</v>
      </c>
    </row>
    <row r="21" spans="1:10" ht="31.9" customHeight="1" x14ac:dyDescent="0.35">
      <c r="A21" s="26" t="s">
        <v>137</v>
      </c>
      <c r="B21" s="27" t="s">
        <v>138</v>
      </c>
      <c r="C21" s="26" t="s">
        <v>86</v>
      </c>
      <c r="D21" s="26" t="s">
        <v>139</v>
      </c>
      <c r="E21" s="26" t="s">
        <v>113</v>
      </c>
      <c r="F21" s="27" t="s">
        <v>107</v>
      </c>
      <c r="G21" s="27" t="s">
        <v>58</v>
      </c>
      <c r="H21" s="27" t="s">
        <v>90</v>
      </c>
      <c r="I21" s="27" t="s">
        <v>108</v>
      </c>
      <c r="J21" s="27" t="s">
        <v>140</v>
      </c>
    </row>
    <row r="22" spans="1:10" ht="18" customHeight="1" x14ac:dyDescent="0.35">
      <c r="A22" s="48" t="s">
        <v>141</v>
      </c>
      <c r="B22" s="39"/>
      <c r="C22" s="39"/>
      <c r="D22" s="39"/>
      <c r="E22" s="39"/>
      <c r="F22" s="39"/>
      <c r="G22" s="39"/>
      <c r="H22" s="39"/>
      <c r="I22" s="39"/>
      <c r="J22" s="39"/>
    </row>
    <row r="23" spans="1:10" ht="31.9" customHeight="1" x14ac:dyDescent="0.35">
      <c r="A23" s="26" t="s">
        <v>142</v>
      </c>
      <c r="B23" s="27" t="s">
        <v>143</v>
      </c>
      <c r="C23" s="26" t="s">
        <v>86</v>
      </c>
      <c r="D23" s="26" t="s">
        <v>144</v>
      </c>
      <c r="E23" s="26" t="s">
        <v>113</v>
      </c>
      <c r="F23" s="27" t="s">
        <v>114</v>
      </c>
      <c r="G23" s="27" t="s">
        <v>58</v>
      </c>
      <c r="H23" s="27" t="s">
        <v>90</v>
      </c>
      <c r="I23" s="27" t="s">
        <v>145</v>
      </c>
      <c r="J23" s="27" t="s">
        <v>146</v>
      </c>
    </row>
    <row r="24" spans="1:10" ht="31.9" customHeight="1" x14ac:dyDescent="0.35">
      <c r="A24" s="26" t="s">
        <v>147</v>
      </c>
      <c r="B24" s="27" t="s">
        <v>148</v>
      </c>
      <c r="C24" s="26" t="s">
        <v>86</v>
      </c>
      <c r="D24" s="26" t="s">
        <v>105</v>
      </c>
      <c r="E24" s="26" t="s">
        <v>113</v>
      </c>
      <c r="F24" s="27" t="s">
        <v>114</v>
      </c>
      <c r="G24" s="27" t="s">
        <v>58</v>
      </c>
      <c r="H24" s="27" t="s">
        <v>90</v>
      </c>
      <c r="I24" s="27" t="s">
        <v>145</v>
      </c>
      <c r="J24" s="27" t="s">
        <v>149</v>
      </c>
    </row>
    <row r="25" spans="1:10" ht="31.9" customHeight="1" x14ac:dyDescent="0.35">
      <c r="A25" s="22" t="s">
        <v>150</v>
      </c>
      <c r="B25" s="23" t="s">
        <v>151</v>
      </c>
      <c r="C25" s="22" t="s">
        <v>86</v>
      </c>
      <c r="D25" s="22" t="s">
        <v>87</v>
      </c>
      <c r="E25" s="22" t="s">
        <v>88</v>
      </c>
      <c r="F25" s="23" t="s">
        <v>107</v>
      </c>
      <c r="G25" s="23" t="s">
        <v>58</v>
      </c>
      <c r="H25" s="23" t="s">
        <v>90</v>
      </c>
      <c r="I25" s="23" t="s">
        <v>145</v>
      </c>
      <c r="J25" s="23" t="s">
        <v>152</v>
      </c>
    </row>
    <row r="26" spans="1:10" ht="31.9" customHeight="1" x14ac:dyDescent="0.35">
      <c r="A26" s="22" t="s">
        <v>153</v>
      </c>
      <c r="B26" s="23" t="s">
        <v>154</v>
      </c>
      <c r="C26" s="22" t="s">
        <v>86</v>
      </c>
      <c r="D26" s="22" t="s">
        <v>87</v>
      </c>
      <c r="E26" s="22" t="s">
        <v>88</v>
      </c>
      <c r="F26" s="23" t="s">
        <v>58</v>
      </c>
      <c r="G26" s="23" t="s">
        <v>58</v>
      </c>
      <c r="H26" s="23" t="s">
        <v>90</v>
      </c>
      <c r="I26" s="23" t="s">
        <v>145</v>
      </c>
      <c r="J26" s="23" t="s">
        <v>155</v>
      </c>
    </row>
    <row r="27" spans="1:10" ht="31.9" customHeight="1" x14ac:dyDescent="0.35">
      <c r="A27" s="26" t="s">
        <v>156</v>
      </c>
      <c r="B27" s="27" t="s">
        <v>157</v>
      </c>
      <c r="C27" s="26" t="s">
        <v>86</v>
      </c>
      <c r="D27" s="26" t="s">
        <v>127</v>
      </c>
      <c r="E27" s="26" t="s">
        <v>113</v>
      </c>
      <c r="F27" s="27" t="s">
        <v>107</v>
      </c>
      <c r="G27" s="27" t="s">
        <v>58</v>
      </c>
      <c r="H27" s="27" t="s">
        <v>90</v>
      </c>
      <c r="I27" s="27" t="s">
        <v>145</v>
      </c>
      <c r="J27" s="27" t="s">
        <v>158</v>
      </c>
    </row>
    <row r="28" spans="1:10" ht="31.9" customHeight="1" x14ac:dyDescent="0.35">
      <c r="A28" s="22" t="s">
        <v>159</v>
      </c>
      <c r="B28" s="23" t="s">
        <v>160</v>
      </c>
      <c r="C28" s="22" t="s">
        <v>86</v>
      </c>
      <c r="D28" s="22" t="s">
        <v>87</v>
      </c>
      <c r="E28" s="22" t="s">
        <v>88</v>
      </c>
      <c r="F28" s="23" t="s">
        <v>58</v>
      </c>
      <c r="G28" s="23" t="s">
        <v>58</v>
      </c>
      <c r="H28" s="23" t="s">
        <v>90</v>
      </c>
      <c r="I28" s="23" t="s">
        <v>145</v>
      </c>
      <c r="J28" s="23" t="s">
        <v>161</v>
      </c>
    </row>
    <row r="29" spans="1:10" ht="19.899999999999999" customHeight="1" x14ac:dyDescent="0.35">
      <c r="A29" s="42" t="s">
        <v>162</v>
      </c>
      <c r="B29" s="39"/>
      <c r="C29" s="39"/>
      <c r="D29" s="39"/>
      <c r="E29" s="39"/>
      <c r="F29" s="39"/>
      <c r="G29" s="39"/>
      <c r="H29" s="39"/>
      <c r="I29" s="39"/>
      <c r="J29" s="39"/>
    </row>
    <row r="30" spans="1:10" ht="36" customHeight="1" x14ac:dyDescent="0.35">
      <c r="A30" s="28" t="s">
        <v>163</v>
      </c>
      <c r="B30" s="29" t="s">
        <v>164</v>
      </c>
      <c r="C30" s="28" t="s">
        <v>86</v>
      </c>
      <c r="D30" s="28" t="s">
        <v>165</v>
      </c>
      <c r="E30" s="28" t="s">
        <v>88</v>
      </c>
      <c r="F30" s="29" t="s">
        <v>89</v>
      </c>
      <c r="G30" s="29" t="s">
        <v>166</v>
      </c>
      <c r="H30" s="29" t="s">
        <v>90</v>
      </c>
      <c r="I30" s="29" t="s">
        <v>108</v>
      </c>
      <c r="J30" s="29" t="s">
        <v>167</v>
      </c>
    </row>
    <row r="31" spans="1:10" ht="36" customHeight="1" x14ac:dyDescent="0.35">
      <c r="A31" s="28" t="s">
        <v>168</v>
      </c>
      <c r="B31" s="29" t="s">
        <v>169</v>
      </c>
      <c r="C31" s="28" t="s">
        <v>86</v>
      </c>
      <c r="D31" s="28" t="s">
        <v>127</v>
      </c>
      <c r="E31" s="28" t="s">
        <v>88</v>
      </c>
      <c r="F31" s="29" t="s">
        <v>89</v>
      </c>
      <c r="G31" s="29" t="s">
        <v>166</v>
      </c>
      <c r="H31" s="29" t="s">
        <v>90</v>
      </c>
      <c r="I31" s="29" t="s">
        <v>170</v>
      </c>
      <c r="J31" s="29" t="s">
        <v>171</v>
      </c>
    </row>
    <row r="32" spans="1:10" ht="36" customHeight="1" x14ac:dyDescent="0.35">
      <c r="A32" s="28" t="s">
        <v>172</v>
      </c>
      <c r="B32" s="29" t="s">
        <v>173</v>
      </c>
      <c r="C32" s="28" t="s">
        <v>86</v>
      </c>
      <c r="D32" s="28" t="s">
        <v>144</v>
      </c>
      <c r="E32" s="28" t="s">
        <v>88</v>
      </c>
      <c r="F32" s="29" t="s">
        <v>89</v>
      </c>
      <c r="G32" s="29" t="s">
        <v>166</v>
      </c>
      <c r="H32" s="29" t="s">
        <v>90</v>
      </c>
      <c r="I32" s="29" t="s">
        <v>170</v>
      </c>
      <c r="J32" s="29" t="s">
        <v>174</v>
      </c>
    </row>
    <row r="33" spans="1:10" ht="36" customHeight="1" x14ac:dyDescent="0.35">
      <c r="A33" s="28" t="s">
        <v>175</v>
      </c>
      <c r="B33" s="29" t="s">
        <v>176</v>
      </c>
      <c r="C33" s="28" t="s">
        <v>86</v>
      </c>
      <c r="D33" s="28" t="s">
        <v>139</v>
      </c>
      <c r="E33" s="28" t="s">
        <v>88</v>
      </c>
      <c r="F33" s="29" t="s">
        <v>89</v>
      </c>
      <c r="G33" s="29" t="s">
        <v>166</v>
      </c>
      <c r="H33" s="29" t="s">
        <v>90</v>
      </c>
      <c r="I33" s="29" t="s">
        <v>170</v>
      </c>
      <c r="J33" s="29" t="s">
        <v>177</v>
      </c>
    </row>
    <row r="34" spans="1:10" ht="36" customHeight="1" x14ac:dyDescent="0.35">
      <c r="A34" s="28" t="s">
        <v>178</v>
      </c>
      <c r="B34" s="29" t="s">
        <v>179</v>
      </c>
      <c r="C34" s="28" t="s">
        <v>86</v>
      </c>
      <c r="D34" s="28" t="s">
        <v>139</v>
      </c>
      <c r="E34" s="28" t="s">
        <v>88</v>
      </c>
      <c r="F34" s="29" t="s">
        <v>89</v>
      </c>
      <c r="G34" s="29" t="s">
        <v>166</v>
      </c>
      <c r="H34" s="29" t="s">
        <v>90</v>
      </c>
      <c r="I34" s="29" t="s">
        <v>170</v>
      </c>
      <c r="J34" s="29" t="s">
        <v>174</v>
      </c>
    </row>
    <row r="35" spans="1:10" ht="36" customHeight="1" x14ac:dyDescent="0.35">
      <c r="A35" s="28" t="s">
        <v>180</v>
      </c>
      <c r="B35" s="29" t="s">
        <v>181</v>
      </c>
      <c r="C35" s="28" t="s">
        <v>86</v>
      </c>
      <c r="D35" s="28" t="s">
        <v>127</v>
      </c>
      <c r="E35" s="28" t="s">
        <v>88</v>
      </c>
      <c r="F35" s="29" t="s">
        <v>89</v>
      </c>
      <c r="G35" s="29" t="s">
        <v>166</v>
      </c>
      <c r="H35" s="29" t="s">
        <v>90</v>
      </c>
      <c r="I35" s="29" t="s">
        <v>170</v>
      </c>
      <c r="J35" s="29" t="s">
        <v>174</v>
      </c>
    </row>
    <row r="36" spans="1:10" ht="36" customHeight="1" x14ac:dyDescent="0.35">
      <c r="A36" s="28" t="s">
        <v>182</v>
      </c>
      <c r="B36" s="29" t="s">
        <v>183</v>
      </c>
      <c r="C36" s="28" t="s">
        <v>86</v>
      </c>
      <c r="D36" s="28" t="s">
        <v>105</v>
      </c>
      <c r="E36" s="28" t="s">
        <v>88</v>
      </c>
      <c r="F36" s="29" t="s">
        <v>89</v>
      </c>
      <c r="G36" s="29" t="s">
        <v>166</v>
      </c>
      <c r="H36" s="29" t="s">
        <v>90</v>
      </c>
      <c r="I36" s="29" t="s">
        <v>170</v>
      </c>
      <c r="J36" s="29" t="s">
        <v>174</v>
      </c>
    </row>
    <row r="37" spans="1:10" ht="36" customHeight="1" x14ac:dyDescent="0.35">
      <c r="A37" s="28" t="s">
        <v>184</v>
      </c>
      <c r="B37" s="29" t="s">
        <v>185</v>
      </c>
      <c r="C37" s="28" t="s">
        <v>86</v>
      </c>
      <c r="D37" s="28" t="s">
        <v>144</v>
      </c>
      <c r="E37" s="28" t="s">
        <v>88</v>
      </c>
      <c r="F37" s="29" t="s">
        <v>89</v>
      </c>
      <c r="G37" s="29" t="s">
        <v>166</v>
      </c>
      <c r="H37" s="29" t="s">
        <v>90</v>
      </c>
      <c r="I37" s="29" t="s">
        <v>170</v>
      </c>
      <c r="J37" s="29" t="s">
        <v>186</v>
      </c>
    </row>
    <row r="38" spans="1:10" ht="36" customHeight="1" x14ac:dyDescent="0.35">
      <c r="A38" s="28" t="s">
        <v>187</v>
      </c>
      <c r="B38" s="29" t="s">
        <v>188</v>
      </c>
      <c r="C38" s="28" t="s">
        <v>86</v>
      </c>
      <c r="D38" s="28" t="s">
        <v>144</v>
      </c>
      <c r="E38" s="28" t="s">
        <v>88</v>
      </c>
      <c r="F38" s="29" t="s">
        <v>89</v>
      </c>
      <c r="G38" s="29" t="s">
        <v>22</v>
      </c>
      <c r="H38" s="29" t="s">
        <v>90</v>
      </c>
      <c r="I38" s="29" t="s">
        <v>170</v>
      </c>
      <c r="J38" s="29" t="s">
        <v>189</v>
      </c>
    </row>
    <row r="39" spans="1:10" ht="36" customHeight="1" x14ac:dyDescent="0.35">
      <c r="A39" s="7" t="s">
        <v>190</v>
      </c>
      <c r="B39" s="30" t="s">
        <v>191</v>
      </c>
      <c r="C39" s="7" t="s">
        <v>86</v>
      </c>
      <c r="D39" s="7" t="s">
        <v>87</v>
      </c>
      <c r="E39" s="7" t="s">
        <v>88</v>
      </c>
      <c r="F39" s="30" t="s">
        <v>128</v>
      </c>
      <c r="G39" s="30" t="s">
        <v>58</v>
      </c>
      <c r="H39" s="30" t="s">
        <v>90</v>
      </c>
      <c r="I39" s="30" t="s">
        <v>145</v>
      </c>
      <c r="J39" s="30" t="s">
        <v>192</v>
      </c>
    </row>
    <row r="40" spans="1:10" ht="36" customHeight="1" x14ac:dyDescent="0.35">
      <c r="A40" s="7" t="s">
        <v>190</v>
      </c>
      <c r="B40" s="30" t="s">
        <v>193</v>
      </c>
      <c r="C40" s="7" t="s">
        <v>86</v>
      </c>
      <c r="D40" s="7" t="s">
        <v>194</v>
      </c>
      <c r="E40" s="7" t="s">
        <v>88</v>
      </c>
      <c r="F40" s="30" t="s">
        <v>58</v>
      </c>
      <c r="G40" s="30" t="s">
        <v>22</v>
      </c>
      <c r="H40" s="30" t="s">
        <v>90</v>
      </c>
      <c r="I40" s="30" t="s">
        <v>108</v>
      </c>
      <c r="J40" s="30" t="s">
        <v>195</v>
      </c>
    </row>
  </sheetData>
  <mergeCells count="7">
    <mergeCell ref="A29:J29"/>
    <mergeCell ref="A1:J2"/>
    <mergeCell ref="A6:J6"/>
    <mergeCell ref="A22:J22"/>
    <mergeCell ref="A3:J3"/>
    <mergeCell ref="A12:J12"/>
    <mergeCell ref="A7:J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
  <sheetViews>
    <sheetView showGridLines="0" workbookViewId="0">
      <pane ySplit="5" topLeftCell="A6" activePane="bottomLeft" state="frozen"/>
      <selection pane="bottomLeft" activeCell="B10" sqref="B10"/>
    </sheetView>
  </sheetViews>
  <sheetFormatPr defaultRowHeight="14.5" x14ac:dyDescent="0.35"/>
  <cols>
    <col min="1" max="1" width="14" customWidth="1"/>
    <col min="2" max="2" width="40" customWidth="1"/>
    <col min="3" max="3" width="20" customWidth="1"/>
    <col min="4" max="4" width="22" customWidth="1"/>
    <col min="5" max="5" width="48" customWidth="1"/>
    <col min="6" max="6" width="22" customWidth="1"/>
    <col min="7" max="7" width="59.453125" customWidth="1"/>
    <col min="8" max="8" width="24" customWidth="1"/>
    <col min="9" max="9" width="16" customWidth="1"/>
    <col min="10" max="10" width="30" customWidth="1"/>
  </cols>
  <sheetData>
    <row r="1" spans="1:10" ht="28.15" customHeight="1" x14ac:dyDescent="0.35">
      <c r="A1" s="46" t="s">
        <v>196</v>
      </c>
      <c r="B1" s="39"/>
      <c r="C1" s="39"/>
      <c r="D1" s="39"/>
      <c r="E1" s="39"/>
      <c r="F1" s="39"/>
      <c r="G1" s="39"/>
      <c r="H1" s="39"/>
      <c r="I1" s="39"/>
      <c r="J1" s="39"/>
    </row>
    <row r="2" spans="1:10" ht="6" customHeight="1" x14ac:dyDescent="0.35">
      <c r="A2" s="39"/>
      <c r="B2" s="39"/>
      <c r="C2" s="39"/>
      <c r="D2" s="39"/>
      <c r="E2" s="39"/>
      <c r="F2" s="39"/>
      <c r="G2" s="39"/>
      <c r="H2" s="39"/>
      <c r="I2" s="39"/>
      <c r="J2" s="39"/>
    </row>
    <row r="3" spans="1:10" ht="24" customHeight="1" x14ac:dyDescent="0.35">
      <c r="A3" s="43" t="s">
        <v>197</v>
      </c>
      <c r="B3" s="39"/>
      <c r="C3" s="39"/>
      <c r="D3" s="39"/>
      <c r="E3" s="39"/>
      <c r="F3" s="39"/>
      <c r="G3" s="39"/>
      <c r="H3" s="39"/>
      <c r="I3" s="39"/>
      <c r="J3" s="39"/>
    </row>
    <row r="4" spans="1:10" ht="36" customHeight="1" x14ac:dyDescent="0.35">
      <c r="A4" s="45" t="s">
        <v>198</v>
      </c>
      <c r="B4" s="39"/>
      <c r="C4" s="39"/>
      <c r="D4" s="39"/>
      <c r="E4" s="39"/>
      <c r="F4" s="39"/>
      <c r="G4" s="39"/>
      <c r="H4" s="39"/>
      <c r="I4" s="39"/>
      <c r="J4" s="39"/>
    </row>
    <row r="5" spans="1:10" ht="6" customHeight="1" x14ac:dyDescent="0.35"/>
    <row r="6" spans="1:10" ht="48" customHeight="1" x14ac:dyDescent="0.35">
      <c r="A6" s="21" t="s">
        <v>199</v>
      </c>
      <c r="B6" s="21" t="s">
        <v>200</v>
      </c>
      <c r="C6" s="21" t="s">
        <v>201</v>
      </c>
      <c r="D6" s="21" t="s">
        <v>202</v>
      </c>
      <c r="E6" s="21" t="s">
        <v>203</v>
      </c>
      <c r="F6" s="21" t="s">
        <v>204</v>
      </c>
      <c r="G6" s="21" t="s">
        <v>205</v>
      </c>
      <c r="H6" s="21" t="s">
        <v>206</v>
      </c>
      <c r="I6" s="21" t="s">
        <v>207</v>
      </c>
      <c r="J6" s="21" t="s">
        <v>208</v>
      </c>
    </row>
    <row r="7" spans="1:10" ht="40.15" customHeight="1" x14ac:dyDescent="0.35">
      <c r="A7" s="31" t="s">
        <v>209</v>
      </c>
      <c r="B7" s="32" t="s">
        <v>210</v>
      </c>
      <c r="C7" s="31" t="s">
        <v>211</v>
      </c>
      <c r="D7" s="26" t="s">
        <v>212</v>
      </c>
      <c r="E7" s="33" t="s">
        <v>213</v>
      </c>
      <c r="F7" s="34" t="s">
        <v>66</v>
      </c>
      <c r="G7" s="33" t="s">
        <v>214</v>
      </c>
      <c r="H7" s="35" t="s">
        <v>22</v>
      </c>
      <c r="I7" s="35"/>
      <c r="J7" s="33"/>
    </row>
    <row r="8" spans="1:10" ht="39.65" customHeight="1" x14ac:dyDescent="0.35">
      <c r="A8" s="31" t="s">
        <v>105</v>
      </c>
      <c r="B8" s="32" t="s">
        <v>215</v>
      </c>
      <c r="C8" s="31" t="s">
        <v>211</v>
      </c>
      <c r="D8" s="26" t="s">
        <v>212</v>
      </c>
      <c r="E8" s="33" t="s">
        <v>216</v>
      </c>
      <c r="F8" s="34" t="s">
        <v>66</v>
      </c>
      <c r="G8" s="33" t="s">
        <v>217</v>
      </c>
      <c r="H8" s="35" t="s">
        <v>22</v>
      </c>
      <c r="I8" s="35"/>
      <c r="J8" s="33"/>
    </row>
    <row r="9" spans="1:10" ht="31.9" customHeight="1" x14ac:dyDescent="0.35">
      <c r="A9" s="31" t="s">
        <v>127</v>
      </c>
      <c r="B9" s="32" t="s">
        <v>218</v>
      </c>
      <c r="C9" s="31" t="s">
        <v>211</v>
      </c>
      <c r="D9" s="26" t="s">
        <v>212</v>
      </c>
      <c r="E9" s="33" t="s">
        <v>219</v>
      </c>
      <c r="F9" s="34" t="s">
        <v>66</v>
      </c>
      <c r="G9" s="33" t="s">
        <v>220</v>
      </c>
      <c r="H9" s="35" t="s">
        <v>22</v>
      </c>
      <c r="I9" s="35"/>
      <c r="J9" s="33"/>
    </row>
    <row r="10" spans="1:10" ht="31.9" customHeight="1" x14ac:dyDescent="0.35">
      <c r="A10" s="31" t="s">
        <v>112</v>
      </c>
      <c r="B10" s="32" t="s">
        <v>221</v>
      </c>
      <c r="C10" s="31" t="s">
        <v>211</v>
      </c>
      <c r="D10" s="26" t="s">
        <v>212</v>
      </c>
      <c r="E10" s="33" t="s">
        <v>222</v>
      </c>
      <c r="F10" s="34" t="s">
        <v>66</v>
      </c>
      <c r="G10" s="33" t="s">
        <v>223</v>
      </c>
      <c r="H10" s="35" t="s">
        <v>22</v>
      </c>
      <c r="I10" s="35"/>
      <c r="J10" s="33"/>
    </row>
    <row r="12" spans="1:10" ht="19.899999999999999" customHeight="1" x14ac:dyDescent="0.35">
      <c r="A12" s="42" t="s">
        <v>224</v>
      </c>
      <c r="B12" s="39"/>
      <c r="C12" s="39"/>
      <c r="D12" s="39"/>
      <c r="E12" s="39"/>
      <c r="F12" s="39"/>
      <c r="G12" s="39"/>
      <c r="H12" s="39"/>
      <c r="I12" s="39"/>
      <c r="J12" s="39"/>
    </row>
    <row r="13" spans="1:10" ht="37.9" customHeight="1" x14ac:dyDescent="0.35">
      <c r="A13" s="36" t="s">
        <v>225</v>
      </c>
      <c r="B13" s="40" t="s">
        <v>226</v>
      </c>
      <c r="C13" s="39"/>
      <c r="D13" s="39"/>
      <c r="E13" s="39"/>
      <c r="F13" s="39"/>
      <c r="G13" s="39"/>
      <c r="H13" s="39"/>
      <c r="I13" s="39"/>
      <c r="J13" s="39"/>
    </row>
    <row r="14" spans="1:10" ht="37.9" customHeight="1" x14ac:dyDescent="0.35">
      <c r="A14" s="36" t="s">
        <v>227</v>
      </c>
      <c r="B14" s="40" t="s">
        <v>228</v>
      </c>
      <c r="C14" s="39"/>
      <c r="D14" s="39"/>
      <c r="E14" s="39"/>
      <c r="F14" s="39"/>
      <c r="G14" s="39"/>
      <c r="H14" s="39"/>
      <c r="I14" s="39"/>
      <c r="J14" s="39"/>
    </row>
    <row r="15" spans="1:10" ht="37.9" customHeight="1" x14ac:dyDescent="0.35">
      <c r="A15" s="36" t="s">
        <v>229</v>
      </c>
      <c r="B15" s="40" t="s">
        <v>230</v>
      </c>
      <c r="C15" s="39"/>
      <c r="D15" s="39"/>
      <c r="E15" s="39"/>
      <c r="F15" s="39"/>
      <c r="G15" s="39"/>
      <c r="H15" s="39"/>
      <c r="I15" s="39"/>
      <c r="J15" s="39"/>
    </row>
    <row r="16" spans="1:10" ht="37.9" customHeight="1" x14ac:dyDescent="0.35">
      <c r="A16" s="36" t="s">
        <v>231</v>
      </c>
      <c r="B16" s="40" t="s">
        <v>232</v>
      </c>
      <c r="C16" s="39"/>
      <c r="D16" s="39"/>
      <c r="E16" s="39"/>
      <c r="F16" s="39"/>
      <c r="G16" s="39"/>
      <c r="H16" s="39"/>
      <c r="I16" s="39"/>
      <c r="J16" s="39"/>
    </row>
  </sheetData>
  <mergeCells count="8">
    <mergeCell ref="B16:J16"/>
    <mergeCell ref="B15:J15"/>
    <mergeCell ref="A1:J2"/>
    <mergeCell ref="B14:J14"/>
    <mergeCell ref="A3:J3"/>
    <mergeCell ref="A12:J12"/>
    <mergeCell ref="A4:J4"/>
    <mergeCell ref="B13:J1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1"/>
  <sheetViews>
    <sheetView showGridLines="0" tabSelected="1" workbookViewId="0">
      <pane ySplit="5" topLeftCell="A13" activePane="bottomLeft" state="frozen"/>
      <selection pane="bottomLeft" activeCell="E10" sqref="E10"/>
    </sheetView>
  </sheetViews>
  <sheetFormatPr defaultRowHeight="14.5" x14ac:dyDescent="0.35"/>
  <cols>
    <col min="1" max="1" width="14" customWidth="1"/>
    <col min="2" max="2" width="40" customWidth="1"/>
    <col min="3" max="3" width="20" customWidth="1"/>
    <col min="4" max="4" width="22" customWidth="1"/>
    <col min="5" max="5" width="48" customWidth="1"/>
    <col min="6" max="6" width="22" customWidth="1"/>
    <col min="7" max="7" width="55" customWidth="1"/>
    <col min="8" max="8" width="24" customWidth="1"/>
    <col min="9" max="9" width="16" customWidth="1"/>
    <col min="10" max="10" width="30" customWidth="1"/>
  </cols>
  <sheetData>
    <row r="1" spans="1:10" ht="28.15" customHeight="1" x14ac:dyDescent="0.35">
      <c r="A1" s="46" t="s">
        <v>233</v>
      </c>
      <c r="B1" s="39"/>
      <c r="C1" s="39"/>
      <c r="D1" s="39"/>
      <c r="E1" s="39"/>
      <c r="F1" s="39"/>
      <c r="G1" s="39"/>
      <c r="H1" s="39"/>
      <c r="I1" s="39"/>
      <c r="J1" s="39"/>
    </row>
    <row r="2" spans="1:10" ht="6" customHeight="1" x14ac:dyDescent="0.35">
      <c r="A2" s="39"/>
      <c r="B2" s="39"/>
      <c r="C2" s="39"/>
      <c r="D2" s="39"/>
      <c r="E2" s="39"/>
      <c r="F2" s="39"/>
      <c r="G2" s="39"/>
      <c r="H2" s="39"/>
      <c r="I2" s="39"/>
      <c r="J2" s="39"/>
    </row>
    <row r="3" spans="1:10" ht="24" customHeight="1" x14ac:dyDescent="0.35">
      <c r="A3" s="43" t="s">
        <v>197</v>
      </c>
      <c r="B3" s="39"/>
      <c r="C3" s="39"/>
      <c r="D3" s="39"/>
      <c r="E3" s="39"/>
      <c r="F3" s="39"/>
      <c r="G3" s="39"/>
      <c r="H3" s="39"/>
      <c r="I3" s="39"/>
      <c r="J3" s="39"/>
    </row>
    <row r="4" spans="1:10" ht="36" customHeight="1" x14ac:dyDescent="0.35">
      <c r="A4" s="45" t="s">
        <v>234</v>
      </c>
      <c r="B4" s="39"/>
      <c r="C4" s="39"/>
      <c r="D4" s="39"/>
      <c r="E4" s="39"/>
      <c r="F4" s="39"/>
      <c r="G4" s="39"/>
      <c r="H4" s="39"/>
      <c r="I4" s="39"/>
      <c r="J4" s="39"/>
    </row>
    <row r="5" spans="1:10" ht="6" customHeight="1" x14ac:dyDescent="0.35"/>
    <row r="6" spans="1:10" ht="48" customHeight="1" x14ac:dyDescent="0.35">
      <c r="A6" s="21" t="s">
        <v>199</v>
      </c>
      <c r="B6" s="21" t="s">
        <v>200</v>
      </c>
      <c r="C6" s="21" t="s">
        <v>201</v>
      </c>
      <c r="D6" s="21" t="s">
        <v>202</v>
      </c>
      <c r="E6" s="21" t="s">
        <v>203</v>
      </c>
      <c r="F6" s="21" t="s">
        <v>204</v>
      </c>
      <c r="G6" s="21" t="s">
        <v>205</v>
      </c>
      <c r="H6" s="21" t="s">
        <v>206</v>
      </c>
      <c r="I6" s="21" t="s">
        <v>207</v>
      </c>
      <c r="J6" s="21" t="s">
        <v>208</v>
      </c>
    </row>
    <row r="7" spans="1:10" ht="31.9" customHeight="1" x14ac:dyDescent="0.35">
      <c r="A7" s="31" t="s">
        <v>209</v>
      </c>
      <c r="B7" s="32" t="s">
        <v>235</v>
      </c>
      <c r="C7" s="31" t="s">
        <v>211</v>
      </c>
      <c r="D7" s="26" t="s">
        <v>212</v>
      </c>
      <c r="E7" s="33" t="s">
        <v>236</v>
      </c>
      <c r="F7" s="34" t="s">
        <v>66</v>
      </c>
      <c r="G7" s="33" t="s">
        <v>237</v>
      </c>
      <c r="H7" s="35" t="s">
        <v>22</v>
      </c>
      <c r="I7" s="35"/>
      <c r="J7" s="33"/>
    </row>
    <row r="8" spans="1:10" ht="31.9" customHeight="1" x14ac:dyDescent="0.35">
      <c r="A8" s="31" t="s">
        <v>105</v>
      </c>
      <c r="B8" s="32" t="s">
        <v>238</v>
      </c>
      <c r="C8" s="31" t="s">
        <v>211</v>
      </c>
      <c r="D8" s="26" t="s">
        <v>212</v>
      </c>
      <c r="E8" s="33" t="s">
        <v>239</v>
      </c>
      <c r="F8" s="34" t="s">
        <v>66</v>
      </c>
      <c r="G8" s="33" t="s">
        <v>240</v>
      </c>
      <c r="H8" s="35" t="s">
        <v>22</v>
      </c>
      <c r="I8" s="35"/>
      <c r="J8" s="33"/>
    </row>
    <row r="9" spans="1:10" ht="31.9" customHeight="1" x14ac:dyDescent="0.35">
      <c r="A9" s="31" t="s">
        <v>127</v>
      </c>
      <c r="B9" s="32" t="s">
        <v>241</v>
      </c>
      <c r="C9" s="31" t="s">
        <v>211</v>
      </c>
      <c r="D9" s="26" t="s">
        <v>212</v>
      </c>
      <c r="E9" s="33" t="s">
        <v>242</v>
      </c>
      <c r="F9" s="34" t="s">
        <v>66</v>
      </c>
      <c r="G9" s="33" t="s">
        <v>243</v>
      </c>
      <c r="H9" s="35" t="s">
        <v>22</v>
      </c>
      <c r="I9" s="35"/>
      <c r="J9" s="33"/>
    </row>
    <row r="10" spans="1:10" ht="31.9" customHeight="1" x14ac:dyDescent="0.35">
      <c r="A10" s="31" t="s">
        <v>112</v>
      </c>
      <c r="B10" s="32" t="s">
        <v>244</v>
      </c>
      <c r="C10" s="31" t="s">
        <v>211</v>
      </c>
      <c r="D10" s="26" t="s">
        <v>212</v>
      </c>
      <c r="E10" s="33" t="s">
        <v>245</v>
      </c>
      <c r="F10" s="34" t="s">
        <v>66</v>
      </c>
      <c r="G10" s="33" t="s">
        <v>246</v>
      </c>
      <c r="H10" s="35" t="s">
        <v>22</v>
      </c>
      <c r="I10" s="35"/>
      <c r="J10" s="33"/>
    </row>
    <row r="11" spans="1:10" ht="31.9" customHeight="1" x14ac:dyDescent="0.35">
      <c r="A11" s="31" t="s">
        <v>144</v>
      </c>
      <c r="B11" s="32" t="s">
        <v>247</v>
      </c>
      <c r="C11" s="31" t="s">
        <v>211</v>
      </c>
      <c r="D11" s="26" t="s">
        <v>212</v>
      </c>
      <c r="E11" s="33" t="s">
        <v>248</v>
      </c>
      <c r="F11" s="34" t="s">
        <v>66</v>
      </c>
      <c r="G11" s="33" t="s">
        <v>249</v>
      </c>
      <c r="H11" s="35" t="s">
        <v>22</v>
      </c>
      <c r="I11" s="35"/>
      <c r="J11" s="33"/>
    </row>
    <row r="12" spans="1:10" ht="31.9" customHeight="1" x14ac:dyDescent="0.35">
      <c r="A12" s="31" t="s">
        <v>250</v>
      </c>
      <c r="B12" s="32" t="s">
        <v>251</v>
      </c>
      <c r="C12" s="31" t="s">
        <v>211</v>
      </c>
      <c r="D12" s="26" t="s">
        <v>212</v>
      </c>
      <c r="E12" s="33" t="s">
        <v>252</v>
      </c>
      <c r="F12" s="34" t="s">
        <v>66</v>
      </c>
      <c r="G12" s="33" t="s">
        <v>243</v>
      </c>
      <c r="H12" s="35" t="s">
        <v>22</v>
      </c>
      <c r="I12" s="35"/>
      <c r="J12" s="33"/>
    </row>
    <row r="13" spans="1:10" ht="31.9" customHeight="1" x14ac:dyDescent="0.35">
      <c r="A13" s="31" t="s">
        <v>253</v>
      </c>
      <c r="B13" s="32" t="s">
        <v>254</v>
      </c>
      <c r="C13" s="31" t="s">
        <v>211</v>
      </c>
      <c r="D13" s="26" t="s">
        <v>212</v>
      </c>
      <c r="E13" s="33" t="s">
        <v>255</v>
      </c>
      <c r="F13" s="34" t="s">
        <v>66</v>
      </c>
      <c r="G13" s="33" t="s">
        <v>256</v>
      </c>
      <c r="H13" s="35" t="s">
        <v>22</v>
      </c>
      <c r="I13" s="35"/>
      <c r="J13" s="33"/>
    </row>
    <row r="14" spans="1:10" ht="31.9" customHeight="1" x14ac:dyDescent="0.35">
      <c r="A14" s="31" t="s">
        <v>139</v>
      </c>
      <c r="B14" s="32" t="s">
        <v>257</v>
      </c>
      <c r="C14" s="31" t="s">
        <v>211</v>
      </c>
      <c r="D14" s="26" t="s">
        <v>212</v>
      </c>
      <c r="E14" s="33" t="s">
        <v>258</v>
      </c>
      <c r="F14" s="34" t="s">
        <v>66</v>
      </c>
      <c r="G14" s="33" t="s">
        <v>243</v>
      </c>
      <c r="H14" s="35" t="s">
        <v>22</v>
      </c>
      <c r="I14" s="35"/>
      <c r="J14" s="33"/>
    </row>
    <row r="15" spans="1:10" ht="31.9" customHeight="1" x14ac:dyDescent="0.35">
      <c r="A15" s="31" t="s">
        <v>132</v>
      </c>
      <c r="B15" s="32" t="s">
        <v>259</v>
      </c>
      <c r="C15" s="31" t="s">
        <v>211</v>
      </c>
      <c r="D15" s="26" t="s">
        <v>212</v>
      </c>
      <c r="E15" s="33" t="s">
        <v>260</v>
      </c>
      <c r="F15" s="34" t="s">
        <v>66</v>
      </c>
      <c r="G15" s="33" t="s">
        <v>261</v>
      </c>
      <c r="H15" s="35" t="s">
        <v>22</v>
      </c>
      <c r="I15" s="35"/>
      <c r="J15" s="33"/>
    </row>
    <row r="16" spans="1:10" ht="31.9" customHeight="1" x14ac:dyDescent="0.35">
      <c r="A16" s="31" t="s">
        <v>262</v>
      </c>
      <c r="B16" s="32" t="s">
        <v>263</v>
      </c>
      <c r="C16" s="31" t="s">
        <v>211</v>
      </c>
      <c r="D16" s="26" t="s">
        <v>212</v>
      </c>
      <c r="E16" s="33" t="s">
        <v>264</v>
      </c>
      <c r="F16" s="34" t="s">
        <v>66</v>
      </c>
      <c r="G16" s="33" t="s">
        <v>243</v>
      </c>
      <c r="H16" s="35" t="s">
        <v>22</v>
      </c>
      <c r="I16" s="35"/>
      <c r="J16" s="33"/>
    </row>
    <row r="17" spans="1:10" ht="31.9" customHeight="1" x14ac:dyDescent="0.35">
      <c r="A17" s="7" t="s">
        <v>265</v>
      </c>
      <c r="B17" s="30" t="s">
        <v>266</v>
      </c>
      <c r="C17" s="7" t="s">
        <v>267</v>
      </c>
      <c r="D17" s="22" t="s">
        <v>64</v>
      </c>
      <c r="E17" s="33" t="s">
        <v>268</v>
      </c>
      <c r="F17" s="34" t="s">
        <v>66</v>
      </c>
      <c r="G17" s="33" t="s">
        <v>269</v>
      </c>
      <c r="H17" s="35" t="s">
        <v>270</v>
      </c>
      <c r="I17" s="35"/>
      <c r="J17" s="33"/>
    </row>
    <row r="18" spans="1:10" ht="31.9" customHeight="1" x14ac:dyDescent="0.35">
      <c r="A18" s="7" t="s">
        <v>271</v>
      </c>
      <c r="B18" s="30" t="s">
        <v>272</v>
      </c>
      <c r="C18" s="7" t="s">
        <v>267</v>
      </c>
      <c r="D18" s="22" t="s">
        <v>64</v>
      </c>
      <c r="E18" s="33" t="s">
        <v>268</v>
      </c>
      <c r="F18" s="34" t="s">
        <v>66</v>
      </c>
      <c r="G18" s="33" t="s">
        <v>273</v>
      </c>
      <c r="H18" s="35" t="s">
        <v>270</v>
      </c>
      <c r="I18" s="35"/>
      <c r="J18" s="33"/>
    </row>
    <row r="19" spans="1:10" ht="31.9" customHeight="1" x14ac:dyDescent="0.35">
      <c r="A19" s="7" t="s">
        <v>274</v>
      </c>
      <c r="B19" s="30" t="s">
        <v>275</v>
      </c>
      <c r="C19" s="7" t="s">
        <v>267</v>
      </c>
      <c r="D19" s="22" t="s">
        <v>64</v>
      </c>
      <c r="E19" s="33" t="s">
        <v>268</v>
      </c>
      <c r="F19" s="34" t="s">
        <v>66</v>
      </c>
      <c r="G19" s="33" t="s">
        <v>273</v>
      </c>
      <c r="H19" s="35" t="s">
        <v>270</v>
      </c>
      <c r="I19" s="35"/>
      <c r="J19" s="33"/>
    </row>
    <row r="20" spans="1:10" ht="31.9" customHeight="1" x14ac:dyDescent="0.35">
      <c r="A20" s="7" t="s">
        <v>276</v>
      </c>
      <c r="B20" s="30" t="s">
        <v>277</v>
      </c>
      <c r="C20" s="7" t="s">
        <v>267</v>
      </c>
      <c r="D20" s="22" t="s">
        <v>64</v>
      </c>
      <c r="E20" s="33" t="s">
        <v>268</v>
      </c>
      <c r="F20" s="34" t="s">
        <v>66</v>
      </c>
      <c r="G20" s="33" t="s">
        <v>273</v>
      </c>
      <c r="H20" s="35" t="s">
        <v>270</v>
      </c>
      <c r="I20" s="35"/>
      <c r="J20" s="33"/>
    </row>
    <row r="21" spans="1:10" ht="31.9" customHeight="1" x14ac:dyDescent="0.35">
      <c r="A21" s="7" t="s">
        <v>278</v>
      </c>
      <c r="B21" s="30" t="s">
        <v>279</v>
      </c>
      <c r="C21" s="7" t="s">
        <v>267</v>
      </c>
      <c r="D21" s="22" t="s">
        <v>64</v>
      </c>
      <c r="E21" s="33" t="s">
        <v>268</v>
      </c>
      <c r="F21" s="34" t="s">
        <v>66</v>
      </c>
      <c r="G21" s="33" t="s">
        <v>280</v>
      </c>
      <c r="H21" s="35" t="s">
        <v>270</v>
      </c>
      <c r="I21" s="35"/>
      <c r="J21" s="33"/>
    </row>
    <row r="22" spans="1:10" ht="31.9" customHeight="1" x14ac:dyDescent="0.35">
      <c r="A22" s="7" t="s">
        <v>281</v>
      </c>
      <c r="B22" s="30" t="s">
        <v>282</v>
      </c>
      <c r="C22" s="7" t="s">
        <v>267</v>
      </c>
      <c r="D22" s="22" t="s">
        <v>64</v>
      </c>
      <c r="E22" s="33" t="s">
        <v>268</v>
      </c>
      <c r="F22" s="34" t="s">
        <v>66</v>
      </c>
      <c r="G22" s="33" t="s">
        <v>273</v>
      </c>
      <c r="H22" s="35" t="s">
        <v>270</v>
      </c>
      <c r="I22" s="35"/>
      <c r="J22" s="33"/>
    </row>
    <row r="23" spans="1:10" ht="31.9" customHeight="1" x14ac:dyDescent="0.35">
      <c r="A23" s="7" t="s">
        <v>283</v>
      </c>
      <c r="B23" s="30" t="s">
        <v>284</v>
      </c>
      <c r="C23" s="7" t="s">
        <v>267</v>
      </c>
      <c r="D23" s="22" t="s">
        <v>64</v>
      </c>
      <c r="E23" s="33" t="s">
        <v>268</v>
      </c>
      <c r="F23" s="34" t="s">
        <v>66</v>
      </c>
      <c r="G23" s="33" t="s">
        <v>273</v>
      </c>
      <c r="H23" s="35" t="s">
        <v>270</v>
      </c>
      <c r="I23" s="35"/>
      <c r="J23" s="33"/>
    </row>
    <row r="24" spans="1:10" ht="31.9" customHeight="1" x14ac:dyDescent="0.35">
      <c r="A24" s="7" t="s">
        <v>285</v>
      </c>
      <c r="B24" s="30" t="s">
        <v>286</v>
      </c>
      <c r="C24" s="7" t="s">
        <v>267</v>
      </c>
      <c r="D24" s="22" t="s">
        <v>64</v>
      </c>
      <c r="E24" s="33" t="s">
        <v>268</v>
      </c>
      <c r="F24" s="34" t="s">
        <v>66</v>
      </c>
      <c r="G24" s="33" t="s">
        <v>273</v>
      </c>
      <c r="H24" s="35" t="s">
        <v>270</v>
      </c>
      <c r="I24" s="35"/>
      <c r="J24" s="33"/>
    </row>
    <row r="25" spans="1:10" ht="31.9" customHeight="1" x14ac:dyDescent="0.35">
      <c r="A25" s="7" t="s">
        <v>287</v>
      </c>
      <c r="B25" s="30" t="s">
        <v>288</v>
      </c>
      <c r="C25" s="7" t="s">
        <v>267</v>
      </c>
      <c r="D25" s="22" t="s">
        <v>64</v>
      </c>
      <c r="E25" s="33" t="s">
        <v>268</v>
      </c>
      <c r="F25" s="34" t="s">
        <v>66</v>
      </c>
      <c r="G25" s="33" t="s">
        <v>289</v>
      </c>
      <c r="H25" s="35" t="s">
        <v>270</v>
      </c>
      <c r="I25" s="35"/>
      <c r="J25" s="33"/>
    </row>
    <row r="27" spans="1:10" ht="19.899999999999999" customHeight="1" x14ac:dyDescent="0.35">
      <c r="A27" s="42" t="s">
        <v>290</v>
      </c>
      <c r="B27" s="39"/>
      <c r="C27" s="39"/>
      <c r="D27" s="39"/>
      <c r="E27" s="39"/>
      <c r="F27" s="39"/>
      <c r="G27" s="39"/>
      <c r="H27" s="39"/>
      <c r="I27" s="39"/>
      <c r="J27" s="39"/>
    </row>
    <row r="28" spans="1:10" ht="37.9" customHeight="1" x14ac:dyDescent="0.35">
      <c r="A28" s="36" t="s">
        <v>225</v>
      </c>
      <c r="B28" s="40" t="s">
        <v>291</v>
      </c>
      <c r="C28" s="39"/>
      <c r="D28" s="39"/>
      <c r="E28" s="39"/>
      <c r="F28" s="39"/>
      <c r="G28" s="39"/>
      <c r="H28" s="39"/>
      <c r="I28" s="39"/>
      <c r="J28" s="39"/>
    </row>
    <row r="29" spans="1:10" ht="37.9" customHeight="1" x14ac:dyDescent="0.35">
      <c r="A29" s="36" t="s">
        <v>292</v>
      </c>
      <c r="B29" s="40" t="s">
        <v>293</v>
      </c>
      <c r="C29" s="39"/>
      <c r="D29" s="39"/>
      <c r="E29" s="39"/>
      <c r="F29" s="39"/>
      <c r="G29" s="39"/>
      <c r="H29" s="39"/>
      <c r="I29" s="39"/>
      <c r="J29" s="39"/>
    </row>
    <row r="30" spans="1:10" ht="37.9" customHeight="1" x14ac:dyDescent="0.35">
      <c r="A30" s="36" t="s">
        <v>294</v>
      </c>
      <c r="B30" s="40" t="s">
        <v>295</v>
      </c>
      <c r="C30" s="39"/>
      <c r="D30" s="39"/>
      <c r="E30" s="39"/>
      <c r="F30" s="39"/>
      <c r="G30" s="39"/>
      <c r="H30" s="39"/>
      <c r="I30" s="39"/>
      <c r="J30" s="39"/>
    </row>
    <row r="31" spans="1:10" ht="37.9" customHeight="1" x14ac:dyDescent="0.35">
      <c r="A31" s="36" t="s">
        <v>296</v>
      </c>
      <c r="B31" s="40" t="s">
        <v>297</v>
      </c>
      <c r="C31" s="39"/>
      <c r="D31" s="39"/>
      <c r="E31" s="39"/>
      <c r="F31" s="39"/>
      <c r="G31" s="39"/>
      <c r="H31" s="39"/>
      <c r="I31" s="39"/>
      <c r="J31" s="39"/>
    </row>
  </sheetData>
  <mergeCells count="8">
    <mergeCell ref="B31:J31"/>
    <mergeCell ref="A4:J4"/>
    <mergeCell ref="B30:J30"/>
    <mergeCell ref="B29:J29"/>
    <mergeCell ref="A1:J2"/>
    <mergeCell ref="B28:J28"/>
    <mergeCell ref="A27:J27"/>
    <mergeCell ref="A3:J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0"/>
  <sheetViews>
    <sheetView showGridLines="0" workbookViewId="0">
      <pane ySplit="5" topLeftCell="A37" activePane="bottomLeft" state="frozen"/>
      <selection pane="bottomLeft" activeCell="B40" sqref="B40:J40"/>
    </sheetView>
  </sheetViews>
  <sheetFormatPr defaultRowHeight="14.5" x14ac:dyDescent="0.35"/>
  <cols>
    <col min="1" max="1" width="14" customWidth="1"/>
    <col min="2" max="2" width="40" customWidth="1"/>
    <col min="3" max="3" width="20" customWidth="1"/>
    <col min="4" max="4" width="22" customWidth="1"/>
    <col min="5" max="5" width="48" customWidth="1"/>
    <col min="6" max="6" width="22" customWidth="1"/>
    <col min="7" max="7" width="55" customWidth="1"/>
    <col min="8" max="8" width="24" customWidth="1"/>
    <col min="9" max="9" width="16" customWidth="1"/>
    <col min="10" max="10" width="30" customWidth="1"/>
  </cols>
  <sheetData>
    <row r="1" spans="1:10" ht="28.15" customHeight="1" x14ac:dyDescent="0.35">
      <c r="A1" s="46" t="s">
        <v>298</v>
      </c>
      <c r="B1" s="39"/>
      <c r="C1" s="39"/>
      <c r="D1" s="39"/>
      <c r="E1" s="39"/>
      <c r="F1" s="39"/>
      <c r="G1" s="39"/>
      <c r="H1" s="39"/>
      <c r="I1" s="39"/>
      <c r="J1" s="39"/>
    </row>
    <row r="2" spans="1:10" ht="6" customHeight="1" x14ac:dyDescent="0.35">
      <c r="A2" s="39"/>
      <c r="B2" s="39"/>
      <c r="C2" s="39"/>
      <c r="D2" s="39"/>
      <c r="E2" s="39"/>
      <c r="F2" s="39"/>
      <c r="G2" s="39"/>
      <c r="H2" s="39"/>
      <c r="I2" s="39"/>
      <c r="J2" s="39"/>
    </row>
    <row r="3" spans="1:10" ht="24" customHeight="1" x14ac:dyDescent="0.35">
      <c r="A3" s="43" t="s">
        <v>197</v>
      </c>
      <c r="B3" s="39"/>
      <c r="C3" s="39"/>
      <c r="D3" s="39"/>
      <c r="E3" s="39"/>
      <c r="F3" s="39"/>
      <c r="G3" s="39"/>
      <c r="H3" s="39"/>
      <c r="I3" s="39"/>
      <c r="J3" s="39"/>
    </row>
    <row r="4" spans="1:10" ht="36" customHeight="1" x14ac:dyDescent="0.35">
      <c r="A4" s="45" t="s">
        <v>234</v>
      </c>
      <c r="B4" s="39"/>
      <c r="C4" s="39"/>
      <c r="D4" s="39"/>
      <c r="E4" s="39"/>
      <c r="F4" s="39"/>
      <c r="G4" s="39"/>
      <c r="H4" s="39"/>
      <c r="I4" s="39"/>
      <c r="J4" s="39"/>
    </row>
    <row r="5" spans="1:10" ht="6" customHeight="1" x14ac:dyDescent="0.35"/>
    <row r="6" spans="1:10" ht="48" customHeight="1" x14ac:dyDescent="0.35">
      <c r="A6" s="21" t="s">
        <v>199</v>
      </c>
      <c r="B6" s="21" t="s">
        <v>200</v>
      </c>
      <c r="C6" s="21" t="s">
        <v>201</v>
      </c>
      <c r="D6" s="21" t="s">
        <v>202</v>
      </c>
      <c r="E6" s="21" t="s">
        <v>203</v>
      </c>
      <c r="F6" s="21" t="s">
        <v>204</v>
      </c>
      <c r="G6" s="21" t="s">
        <v>205</v>
      </c>
      <c r="H6" s="21" t="s">
        <v>206</v>
      </c>
      <c r="I6" s="21" t="s">
        <v>207</v>
      </c>
      <c r="J6" s="21" t="s">
        <v>208</v>
      </c>
    </row>
    <row r="7" spans="1:10" ht="31.9" customHeight="1" x14ac:dyDescent="0.35">
      <c r="A7" s="31" t="s">
        <v>209</v>
      </c>
      <c r="B7" s="32" t="s">
        <v>299</v>
      </c>
      <c r="C7" s="31" t="s">
        <v>211</v>
      </c>
      <c r="D7" s="26" t="s">
        <v>212</v>
      </c>
      <c r="E7" s="33" t="s">
        <v>300</v>
      </c>
      <c r="F7" s="34" t="s">
        <v>66</v>
      </c>
      <c r="G7" s="33" t="s">
        <v>301</v>
      </c>
      <c r="H7" s="35" t="s">
        <v>302</v>
      </c>
      <c r="I7" s="35"/>
      <c r="J7" s="33"/>
    </row>
    <row r="8" spans="1:10" ht="31.9" customHeight="1" x14ac:dyDescent="0.35">
      <c r="A8" s="31" t="s">
        <v>105</v>
      </c>
      <c r="B8" s="32" t="s">
        <v>303</v>
      </c>
      <c r="C8" s="31" t="s">
        <v>211</v>
      </c>
      <c r="D8" s="22" t="s">
        <v>64</v>
      </c>
      <c r="E8" s="33" t="s">
        <v>268</v>
      </c>
      <c r="F8" s="34" t="s">
        <v>66</v>
      </c>
      <c r="G8" s="33" t="s">
        <v>304</v>
      </c>
      <c r="H8" s="35" t="s">
        <v>270</v>
      </c>
      <c r="I8" s="35"/>
      <c r="J8" s="33"/>
    </row>
    <row r="9" spans="1:10" ht="31.9" customHeight="1" x14ac:dyDescent="0.35">
      <c r="A9" s="31" t="s">
        <v>127</v>
      </c>
      <c r="B9" s="32" t="s">
        <v>305</v>
      </c>
      <c r="C9" s="31" t="s">
        <v>211</v>
      </c>
      <c r="D9" s="22" t="s">
        <v>64</v>
      </c>
      <c r="E9" s="33" t="s">
        <v>268</v>
      </c>
      <c r="F9" s="34" t="s">
        <v>66</v>
      </c>
      <c r="G9" s="33" t="s">
        <v>306</v>
      </c>
      <c r="H9" s="35" t="s">
        <v>270</v>
      </c>
      <c r="I9" s="35"/>
      <c r="J9" s="33"/>
    </row>
    <row r="10" spans="1:10" ht="31.9" customHeight="1" x14ac:dyDescent="0.35">
      <c r="A10" s="31" t="s">
        <v>112</v>
      </c>
      <c r="B10" s="32" t="s">
        <v>307</v>
      </c>
      <c r="C10" s="31" t="s">
        <v>211</v>
      </c>
      <c r="D10" s="22" t="s">
        <v>64</v>
      </c>
      <c r="E10" s="33" t="s">
        <v>268</v>
      </c>
      <c r="F10" s="34" t="s">
        <v>66</v>
      </c>
      <c r="G10" s="33" t="s">
        <v>308</v>
      </c>
      <c r="H10" s="35" t="s">
        <v>270</v>
      </c>
      <c r="I10" s="35"/>
      <c r="J10" s="33"/>
    </row>
    <row r="11" spans="1:10" ht="31.9" customHeight="1" x14ac:dyDescent="0.35">
      <c r="A11" s="31" t="s">
        <v>144</v>
      </c>
      <c r="B11" s="32" t="s">
        <v>309</v>
      </c>
      <c r="C11" s="31" t="s">
        <v>211</v>
      </c>
      <c r="D11" s="22" t="s">
        <v>64</v>
      </c>
      <c r="E11" s="33" t="s">
        <v>310</v>
      </c>
      <c r="F11" s="34" t="s">
        <v>66</v>
      </c>
      <c r="G11" s="33" t="s">
        <v>311</v>
      </c>
      <c r="H11" s="35" t="s">
        <v>270</v>
      </c>
      <c r="I11" s="35"/>
      <c r="J11" s="33"/>
    </row>
    <row r="12" spans="1:10" ht="31.9" customHeight="1" x14ac:dyDescent="0.35">
      <c r="A12" s="31" t="s">
        <v>250</v>
      </c>
      <c r="B12" s="32" t="s">
        <v>312</v>
      </c>
      <c r="C12" s="31" t="s">
        <v>211</v>
      </c>
      <c r="D12" s="26" t="s">
        <v>212</v>
      </c>
      <c r="E12" s="33" t="s">
        <v>313</v>
      </c>
      <c r="F12" s="34" t="s">
        <v>66</v>
      </c>
      <c r="G12" s="33" t="s">
        <v>314</v>
      </c>
      <c r="H12" s="35" t="s">
        <v>22</v>
      </c>
      <c r="I12" s="35"/>
      <c r="J12" s="33"/>
    </row>
    <row r="13" spans="1:10" ht="31.9" customHeight="1" x14ac:dyDescent="0.35">
      <c r="A13" s="31" t="s">
        <v>253</v>
      </c>
      <c r="B13" s="32" t="s">
        <v>315</v>
      </c>
      <c r="C13" s="31" t="s">
        <v>211</v>
      </c>
      <c r="D13" s="22" t="s">
        <v>64</v>
      </c>
      <c r="E13" s="33" t="s">
        <v>268</v>
      </c>
      <c r="F13" s="34" t="s">
        <v>66</v>
      </c>
      <c r="G13" s="33" t="s">
        <v>308</v>
      </c>
      <c r="H13" s="35" t="s">
        <v>270</v>
      </c>
      <c r="I13" s="35"/>
      <c r="J13" s="33"/>
    </row>
    <row r="14" spans="1:10" ht="31.9" customHeight="1" x14ac:dyDescent="0.35">
      <c r="A14" s="31" t="s">
        <v>139</v>
      </c>
      <c r="B14" s="32" t="s">
        <v>316</v>
      </c>
      <c r="C14" s="31" t="s">
        <v>211</v>
      </c>
      <c r="D14" s="22" t="s">
        <v>64</v>
      </c>
      <c r="E14" s="33" t="s">
        <v>268</v>
      </c>
      <c r="F14" s="34" t="s">
        <v>66</v>
      </c>
      <c r="G14" s="33" t="s">
        <v>308</v>
      </c>
      <c r="H14" s="35" t="s">
        <v>270</v>
      </c>
      <c r="I14" s="35"/>
      <c r="J14" s="33"/>
    </row>
    <row r="15" spans="1:10" ht="31.9" customHeight="1" x14ac:dyDescent="0.35">
      <c r="A15" s="31" t="s">
        <v>132</v>
      </c>
      <c r="B15" s="32" t="s">
        <v>317</v>
      </c>
      <c r="C15" s="31" t="s">
        <v>211</v>
      </c>
      <c r="D15" s="26" t="s">
        <v>212</v>
      </c>
      <c r="E15" s="33" t="s">
        <v>318</v>
      </c>
      <c r="F15" s="34" t="s">
        <v>66</v>
      </c>
      <c r="G15" s="33" t="s">
        <v>319</v>
      </c>
      <c r="H15" s="35" t="s">
        <v>22</v>
      </c>
      <c r="I15" s="35"/>
      <c r="J15" s="33"/>
    </row>
    <row r="16" spans="1:10" ht="31.9" customHeight="1" x14ac:dyDescent="0.35">
      <c r="A16" s="31" t="s">
        <v>262</v>
      </c>
      <c r="B16" s="32" t="s">
        <v>320</v>
      </c>
      <c r="C16" s="31" t="s">
        <v>211</v>
      </c>
      <c r="D16" s="26" t="s">
        <v>212</v>
      </c>
      <c r="E16" s="33" t="s">
        <v>321</v>
      </c>
      <c r="F16" s="34" t="s">
        <v>66</v>
      </c>
      <c r="G16" s="33" t="s">
        <v>322</v>
      </c>
      <c r="H16" s="35" t="s">
        <v>22</v>
      </c>
      <c r="I16" s="35"/>
      <c r="J16" s="33"/>
    </row>
    <row r="17" spans="1:10" ht="31.9" customHeight="1" x14ac:dyDescent="0.35">
      <c r="A17" s="31" t="s">
        <v>323</v>
      </c>
      <c r="B17" s="32" t="s">
        <v>324</v>
      </c>
      <c r="C17" s="31" t="s">
        <v>211</v>
      </c>
      <c r="D17" s="26" t="s">
        <v>212</v>
      </c>
      <c r="E17" s="33" t="s">
        <v>325</v>
      </c>
      <c r="F17" s="34" t="s">
        <v>66</v>
      </c>
      <c r="G17" s="33" t="s">
        <v>326</v>
      </c>
      <c r="H17" s="35" t="s">
        <v>327</v>
      </c>
      <c r="I17" s="35"/>
      <c r="J17" s="33"/>
    </row>
    <row r="18" spans="1:10" ht="31.9" customHeight="1" x14ac:dyDescent="0.35">
      <c r="A18" s="31" t="s">
        <v>328</v>
      </c>
      <c r="B18" s="32" t="s">
        <v>329</v>
      </c>
      <c r="C18" s="31" t="s">
        <v>211</v>
      </c>
      <c r="D18" s="26" t="s">
        <v>212</v>
      </c>
      <c r="E18" s="33" t="s">
        <v>330</v>
      </c>
      <c r="F18" s="34" t="s">
        <v>66</v>
      </c>
      <c r="G18" s="33" t="s">
        <v>322</v>
      </c>
      <c r="H18" s="35" t="s">
        <v>22</v>
      </c>
      <c r="I18" s="35"/>
      <c r="J18" s="33"/>
    </row>
    <row r="19" spans="1:10" ht="31.9" customHeight="1" x14ac:dyDescent="0.35">
      <c r="A19" s="31" t="s">
        <v>331</v>
      </c>
      <c r="B19" s="32" t="s">
        <v>332</v>
      </c>
      <c r="C19" s="31" t="s">
        <v>211</v>
      </c>
      <c r="D19" s="26" t="s">
        <v>212</v>
      </c>
      <c r="E19" s="33" t="s">
        <v>333</v>
      </c>
      <c r="F19" s="34" t="s">
        <v>66</v>
      </c>
      <c r="G19" s="33" t="s">
        <v>322</v>
      </c>
      <c r="H19" s="35" t="s">
        <v>22</v>
      </c>
      <c r="I19" s="35"/>
      <c r="J19" s="33"/>
    </row>
    <row r="20" spans="1:10" ht="31.9" customHeight="1" x14ac:dyDescent="0.35">
      <c r="A20" s="31" t="s">
        <v>334</v>
      </c>
      <c r="B20" s="32" t="s">
        <v>335</v>
      </c>
      <c r="C20" s="31" t="s">
        <v>211</v>
      </c>
      <c r="D20" s="26" t="s">
        <v>212</v>
      </c>
      <c r="E20" s="33" t="s">
        <v>336</v>
      </c>
      <c r="F20" s="34" t="s">
        <v>66</v>
      </c>
      <c r="G20" s="33" t="s">
        <v>322</v>
      </c>
      <c r="H20" s="35" t="s">
        <v>22</v>
      </c>
      <c r="I20" s="35"/>
      <c r="J20" s="33"/>
    </row>
    <row r="21" spans="1:10" ht="31.9" customHeight="1" x14ac:dyDescent="0.35">
      <c r="A21" s="31" t="s">
        <v>337</v>
      </c>
      <c r="B21" s="32" t="s">
        <v>338</v>
      </c>
      <c r="C21" s="31" t="s">
        <v>211</v>
      </c>
      <c r="D21" s="26" t="s">
        <v>212</v>
      </c>
      <c r="E21" s="33" t="s">
        <v>339</v>
      </c>
      <c r="F21" s="34" t="s">
        <v>66</v>
      </c>
      <c r="G21" s="33" t="s">
        <v>340</v>
      </c>
      <c r="H21" s="35" t="s">
        <v>22</v>
      </c>
      <c r="I21" s="35"/>
      <c r="J21" s="33"/>
    </row>
    <row r="22" spans="1:10" ht="31.9" customHeight="1" x14ac:dyDescent="0.35">
      <c r="A22" s="31" t="s">
        <v>341</v>
      </c>
      <c r="B22" s="32" t="s">
        <v>342</v>
      </c>
      <c r="C22" s="31" t="s">
        <v>211</v>
      </c>
      <c r="D22" s="26" t="s">
        <v>212</v>
      </c>
      <c r="E22" s="33" t="s">
        <v>343</v>
      </c>
      <c r="F22" s="34" t="s">
        <v>66</v>
      </c>
      <c r="G22" s="33" t="s">
        <v>319</v>
      </c>
      <c r="H22" s="35" t="s">
        <v>22</v>
      </c>
      <c r="I22" s="35"/>
      <c r="J22" s="33"/>
    </row>
    <row r="23" spans="1:10" ht="31.9" customHeight="1" x14ac:dyDescent="0.35">
      <c r="A23" s="31" t="s">
        <v>344</v>
      </c>
      <c r="B23" s="32" t="s">
        <v>345</v>
      </c>
      <c r="C23" s="31" t="s">
        <v>211</v>
      </c>
      <c r="D23" s="26" t="s">
        <v>212</v>
      </c>
      <c r="E23" s="33" t="s">
        <v>346</v>
      </c>
      <c r="F23" s="34" t="s">
        <v>66</v>
      </c>
      <c r="G23" s="33" t="s">
        <v>319</v>
      </c>
      <c r="H23" s="35" t="s">
        <v>22</v>
      </c>
      <c r="I23" s="35"/>
      <c r="J23" s="33"/>
    </row>
    <row r="24" spans="1:10" ht="31.9" customHeight="1" x14ac:dyDescent="0.35">
      <c r="A24" s="31" t="s">
        <v>347</v>
      </c>
      <c r="B24" s="32" t="s">
        <v>348</v>
      </c>
      <c r="C24" s="31" t="s">
        <v>211</v>
      </c>
      <c r="D24" s="26" t="s">
        <v>212</v>
      </c>
      <c r="E24" s="33" t="s">
        <v>349</v>
      </c>
      <c r="F24" s="34" t="s">
        <v>66</v>
      </c>
      <c r="G24" s="33" t="s">
        <v>319</v>
      </c>
      <c r="H24" s="35" t="s">
        <v>22</v>
      </c>
      <c r="I24" s="35"/>
      <c r="J24" s="33"/>
    </row>
    <row r="25" spans="1:10" ht="31.9" customHeight="1" x14ac:dyDescent="0.35">
      <c r="A25" s="31" t="s">
        <v>350</v>
      </c>
      <c r="B25" s="32" t="s">
        <v>351</v>
      </c>
      <c r="C25" s="31" t="s">
        <v>211</v>
      </c>
      <c r="D25" s="26" t="s">
        <v>212</v>
      </c>
      <c r="E25" s="33" t="s">
        <v>352</v>
      </c>
      <c r="F25" s="34" t="s">
        <v>66</v>
      </c>
      <c r="G25" s="33" t="s">
        <v>319</v>
      </c>
      <c r="H25" s="35" t="s">
        <v>22</v>
      </c>
      <c r="I25" s="35"/>
      <c r="J25" s="33"/>
    </row>
    <row r="26" spans="1:10" ht="31.9" customHeight="1" x14ac:dyDescent="0.35">
      <c r="A26" s="31" t="s">
        <v>353</v>
      </c>
      <c r="B26" s="32" t="s">
        <v>354</v>
      </c>
      <c r="C26" s="31" t="s">
        <v>211</v>
      </c>
      <c r="D26" s="26" t="s">
        <v>212</v>
      </c>
      <c r="E26" s="33" t="s">
        <v>355</v>
      </c>
      <c r="F26" s="34" t="s">
        <v>66</v>
      </c>
      <c r="G26" s="33" t="s">
        <v>319</v>
      </c>
      <c r="H26" s="35" t="s">
        <v>22</v>
      </c>
      <c r="I26" s="35"/>
      <c r="J26" s="33"/>
    </row>
    <row r="27" spans="1:10" ht="31.9" customHeight="1" x14ac:dyDescent="0.35">
      <c r="A27" s="31" t="s">
        <v>356</v>
      </c>
      <c r="B27" s="32" t="s">
        <v>357</v>
      </c>
      <c r="C27" s="31" t="s">
        <v>211</v>
      </c>
      <c r="D27" s="26" t="s">
        <v>212</v>
      </c>
      <c r="E27" s="33" t="s">
        <v>358</v>
      </c>
      <c r="F27" s="34" t="s">
        <v>66</v>
      </c>
      <c r="G27" s="33" t="s">
        <v>319</v>
      </c>
      <c r="H27" s="35" t="s">
        <v>22</v>
      </c>
      <c r="I27" s="35"/>
      <c r="J27" s="33"/>
    </row>
    <row r="28" spans="1:10" ht="31.9" customHeight="1" x14ac:dyDescent="0.35">
      <c r="A28" s="31" t="s">
        <v>359</v>
      </c>
      <c r="B28" s="32" t="s">
        <v>263</v>
      </c>
      <c r="C28" s="31" t="s">
        <v>211</v>
      </c>
      <c r="D28" s="26" t="s">
        <v>212</v>
      </c>
      <c r="E28" s="33" t="s">
        <v>360</v>
      </c>
      <c r="F28" s="34" t="s">
        <v>66</v>
      </c>
      <c r="G28" s="33" t="s">
        <v>319</v>
      </c>
      <c r="H28" s="35" t="s">
        <v>22</v>
      </c>
      <c r="I28" s="35"/>
      <c r="J28" s="33"/>
    </row>
    <row r="29" spans="1:10" ht="31.9" customHeight="1" x14ac:dyDescent="0.35">
      <c r="A29" s="7" t="s">
        <v>265</v>
      </c>
      <c r="B29" s="30" t="s">
        <v>361</v>
      </c>
      <c r="C29" s="7" t="s">
        <v>267</v>
      </c>
      <c r="D29" s="22" t="s">
        <v>64</v>
      </c>
      <c r="E29" s="33" t="s">
        <v>268</v>
      </c>
      <c r="F29" s="34" t="s">
        <v>66</v>
      </c>
      <c r="G29" s="33" t="s">
        <v>273</v>
      </c>
      <c r="H29" s="35" t="s">
        <v>270</v>
      </c>
      <c r="I29" s="35"/>
      <c r="J29" s="33"/>
    </row>
    <row r="30" spans="1:10" ht="31.9" customHeight="1" x14ac:dyDescent="0.35">
      <c r="A30" s="7" t="s">
        <v>271</v>
      </c>
      <c r="B30" s="30" t="s">
        <v>362</v>
      </c>
      <c r="C30" s="7" t="s">
        <v>267</v>
      </c>
      <c r="D30" s="22" t="s">
        <v>64</v>
      </c>
      <c r="E30" s="33" t="s">
        <v>268</v>
      </c>
      <c r="F30" s="34" t="s">
        <v>66</v>
      </c>
      <c r="G30" s="33" t="s">
        <v>273</v>
      </c>
      <c r="H30" s="35" t="s">
        <v>270</v>
      </c>
      <c r="I30" s="35"/>
      <c r="J30" s="33"/>
    </row>
    <row r="31" spans="1:10" ht="31.9" customHeight="1" x14ac:dyDescent="0.35">
      <c r="A31" s="7" t="s">
        <v>274</v>
      </c>
      <c r="B31" s="30" t="s">
        <v>363</v>
      </c>
      <c r="C31" s="7" t="s">
        <v>267</v>
      </c>
      <c r="D31" s="22" t="s">
        <v>64</v>
      </c>
      <c r="E31" s="33" t="s">
        <v>268</v>
      </c>
      <c r="F31" s="34" t="s">
        <v>66</v>
      </c>
      <c r="G31" s="33" t="s">
        <v>273</v>
      </c>
      <c r="H31" s="35" t="s">
        <v>270</v>
      </c>
      <c r="I31" s="35"/>
      <c r="J31" s="33"/>
    </row>
    <row r="32" spans="1:10" ht="31.9" customHeight="1" x14ac:dyDescent="0.35">
      <c r="A32" s="7" t="s">
        <v>276</v>
      </c>
      <c r="B32" s="30" t="s">
        <v>364</v>
      </c>
      <c r="C32" s="7" t="s">
        <v>267</v>
      </c>
      <c r="D32" s="22" t="s">
        <v>64</v>
      </c>
      <c r="E32" s="33" t="s">
        <v>268</v>
      </c>
      <c r="F32" s="34" t="s">
        <v>66</v>
      </c>
      <c r="G32" s="33" t="s">
        <v>273</v>
      </c>
      <c r="H32" s="35" t="s">
        <v>270</v>
      </c>
      <c r="I32" s="35"/>
      <c r="J32" s="33"/>
    </row>
    <row r="33" spans="1:10" ht="31.9" customHeight="1" x14ac:dyDescent="0.35">
      <c r="A33" s="7" t="s">
        <v>278</v>
      </c>
      <c r="B33" s="30" t="s">
        <v>365</v>
      </c>
      <c r="C33" s="7" t="s">
        <v>267</v>
      </c>
      <c r="D33" s="22" t="s">
        <v>64</v>
      </c>
      <c r="E33" s="33" t="s">
        <v>268</v>
      </c>
      <c r="F33" s="34" t="s">
        <v>66</v>
      </c>
      <c r="G33" s="33" t="s">
        <v>366</v>
      </c>
      <c r="H33" s="35" t="s">
        <v>270</v>
      </c>
      <c r="I33" s="35"/>
      <c r="J33" s="33"/>
    </row>
    <row r="35" spans="1:10" ht="19.899999999999999" customHeight="1" x14ac:dyDescent="0.35">
      <c r="A35" s="42" t="s">
        <v>367</v>
      </c>
      <c r="B35" s="39"/>
      <c r="C35" s="39"/>
      <c r="D35" s="39"/>
      <c r="E35" s="39"/>
      <c r="F35" s="39"/>
      <c r="G35" s="39"/>
      <c r="H35" s="39"/>
      <c r="I35" s="39"/>
      <c r="J35" s="39"/>
    </row>
    <row r="36" spans="1:10" ht="37.9" customHeight="1" x14ac:dyDescent="0.35">
      <c r="A36" s="36" t="s">
        <v>225</v>
      </c>
      <c r="B36" s="40" t="s">
        <v>368</v>
      </c>
      <c r="C36" s="39"/>
      <c r="D36" s="39"/>
      <c r="E36" s="39"/>
      <c r="F36" s="39"/>
      <c r="G36" s="39"/>
      <c r="H36" s="39"/>
      <c r="I36" s="39"/>
      <c r="J36" s="39"/>
    </row>
    <row r="37" spans="1:10" ht="37.9" customHeight="1" x14ac:dyDescent="0.35">
      <c r="A37" s="36" t="s">
        <v>227</v>
      </c>
      <c r="B37" s="40" t="s">
        <v>369</v>
      </c>
      <c r="C37" s="39"/>
      <c r="D37" s="39"/>
      <c r="E37" s="39"/>
      <c r="F37" s="39"/>
      <c r="G37" s="39"/>
      <c r="H37" s="39"/>
      <c r="I37" s="39"/>
      <c r="J37" s="39"/>
    </row>
    <row r="38" spans="1:10" ht="37.9" customHeight="1" x14ac:dyDescent="0.35">
      <c r="A38" s="36" t="s">
        <v>370</v>
      </c>
      <c r="B38" s="40" t="s">
        <v>371</v>
      </c>
      <c r="C38" s="39"/>
      <c r="D38" s="39"/>
      <c r="E38" s="39"/>
      <c r="F38" s="39"/>
      <c r="G38" s="39"/>
      <c r="H38" s="39"/>
      <c r="I38" s="39"/>
      <c r="J38" s="39"/>
    </row>
    <row r="39" spans="1:10" ht="37.9" customHeight="1" x14ac:dyDescent="0.35">
      <c r="A39" s="36" t="s">
        <v>372</v>
      </c>
      <c r="B39" s="40" t="s">
        <v>373</v>
      </c>
      <c r="C39" s="39"/>
      <c r="D39" s="39"/>
      <c r="E39" s="39"/>
      <c r="F39" s="39"/>
      <c r="G39" s="39"/>
      <c r="H39" s="39"/>
      <c r="I39" s="39"/>
      <c r="J39" s="39"/>
    </row>
    <row r="40" spans="1:10" ht="37.9" customHeight="1" x14ac:dyDescent="0.35">
      <c r="A40" s="36" t="s">
        <v>231</v>
      </c>
      <c r="B40" s="40" t="s">
        <v>374</v>
      </c>
      <c r="C40" s="39"/>
      <c r="D40" s="39"/>
      <c r="E40" s="39"/>
      <c r="F40" s="39"/>
      <c r="G40" s="39"/>
      <c r="H40" s="39"/>
      <c r="I40" s="39"/>
      <c r="J40" s="39"/>
    </row>
  </sheetData>
  <mergeCells count="9">
    <mergeCell ref="A1:J2"/>
    <mergeCell ref="B37:J37"/>
    <mergeCell ref="B36:J36"/>
    <mergeCell ref="A3:J3"/>
    <mergeCell ref="B40:J40"/>
    <mergeCell ref="A35:J35"/>
    <mergeCell ref="A4:J4"/>
    <mergeCell ref="B39:J39"/>
    <mergeCell ref="B38:J3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9"/>
  <sheetViews>
    <sheetView showGridLines="0" zoomScale="88" zoomScaleNormal="88" workbookViewId="0">
      <pane ySplit="5" topLeftCell="A6" activePane="bottomLeft" state="frozen"/>
      <selection pane="bottomLeft" activeCell="A7" sqref="A7:XFD7"/>
    </sheetView>
  </sheetViews>
  <sheetFormatPr defaultRowHeight="14.5" x14ac:dyDescent="0.35"/>
  <cols>
    <col min="1" max="1" width="14" customWidth="1"/>
    <col min="2" max="2" width="40" customWidth="1"/>
    <col min="3" max="3" width="20" customWidth="1"/>
    <col min="4" max="4" width="22" customWidth="1"/>
    <col min="5" max="5" width="48" customWidth="1"/>
    <col min="6" max="6" width="22" customWidth="1"/>
    <col min="7" max="7" width="55" customWidth="1"/>
    <col min="8" max="8" width="24" customWidth="1"/>
    <col min="9" max="9" width="16" customWidth="1"/>
    <col min="10" max="10" width="30" customWidth="1"/>
  </cols>
  <sheetData>
    <row r="1" spans="1:10" ht="28.15" customHeight="1" x14ac:dyDescent="0.35">
      <c r="A1" s="46" t="s">
        <v>375</v>
      </c>
      <c r="B1" s="39"/>
      <c r="C1" s="39"/>
      <c r="D1" s="39"/>
      <c r="E1" s="39"/>
      <c r="F1" s="39"/>
      <c r="G1" s="39"/>
      <c r="H1" s="39"/>
      <c r="I1" s="39"/>
      <c r="J1" s="39"/>
    </row>
    <row r="2" spans="1:10" ht="6" customHeight="1" x14ac:dyDescent="0.35">
      <c r="A2" s="39"/>
      <c r="B2" s="39"/>
      <c r="C2" s="39"/>
      <c r="D2" s="39"/>
      <c r="E2" s="39"/>
      <c r="F2" s="39"/>
      <c r="G2" s="39"/>
      <c r="H2" s="39"/>
      <c r="I2" s="39"/>
      <c r="J2" s="39"/>
    </row>
    <row r="3" spans="1:10" ht="24" customHeight="1" x14ac:dyDescent="0.35">
      <c r="A3" s="43" t="s">
        <v>197</v>
      </c>
      <c r="B3" s="39"/>
      <c r="C3" s="39"/>
      <c r="D3" s="39"/>
      <c r="E3" s="39"/>
      <c r="F3" s="39"/>
      <c r="G3" s="39"/>
      <c r="H3" s="39"/>
      <c r="I3" s="39"/>
      <c r="J3" s="39"/>
    </row>
    <row r="4" spans="1:10" ht="36" customHeight="1" x14ac:dyDescent="0.35">
      <c r="A4" s="45" t="s">
        <v>198</v>
      </c>
      <c r="B4" s="39"/>
      <c r="C4" s="39"/>
      <c r="D4" s="39"/>
      <c r="E4" s="39"/>
      <c r="F4" s="39"/>
      <c r="G4" s="39"/>
      <c r="H4" s="39"/>
      <c r="I4" s="39"/>
      <c r="J4" s="39"/>
    </row>
    <row r="5" spans="1:10" ht="6" customHeight="1" x14ac:dyDescent="0.35"/>
    <row r="6" spans="1:10" ht="48" customHeight="1" x14ac:dyDescent="0.35">
      <c r="A6" s="21" t="s">
        <v>199</v>
      </c>
      <c r="B6" s="21" t="s">
        <v>200</v>
      </c>
      <c r="C6" s="21" t="s">
        <v>201</v>
      </c>
      <c r="D6" s="21" t="s">
        <v>202</v>
      </c>
      <c r="E6" s="21" t="s">
        <v>203</v>
      </c>
      <c r="F6" s="21" t="s">
        <v>204</v>
      </c>
      <c r="G6" s="21" t="s">
        <v>205</v>
      </c>
      <c r="H6" s="21" t="s">
        <v>206</v>
      </c>
      <c r="I6" s="21" t="s">
        <v>207</v>
      </c>
      <c r="J6" s="21" t="s">
        <v>208</v>
      </c>
    </row>
    <row r="7" spans="1:10" ht="36.65" customHeight="1" x14ac:dyDescent="0.35">
      <c r="A7" s="31" t="s">
        <v>209</v>
      </c>
      <c r="B7" s="32" t="s">
        <v>299</v>
      </c>
      <c r="C7" s="31" t="s">
        <v>211</v>
      </c>
      <c r="D7" s="26" t="s">
        <v>212</v>
      </c>
      <c r="E7" s="33" t="s">
        <v>376</v>
      </c>
      <c r="F7" s="34" t="s">
        <v>66</v>
      </c>
      <c r="G7" s="33" t="s">
        <v>377</v>
      </c>
      <c r="H7" s="35" t="s">
        <v>327</v>
      </c>
      <c r="I7" s="35"/>
      <c r="J7" s="33"/>
    </row>
    <row r="8" spans="1:10" ht="31.9" customHeight="1" x14ac:dyDescent="0.35">
      <c r="A8" s="31" t="s">
        <v>105</v>
      </c>
      <c r="B8" s="32" t="s">
        <v>378</v>
      </c>
      <c r="C8" s="31" t="s">
        <v>211</v>
      </c>
      <c r="D8" s="26" t="s">
        <v>212</v>
      </c>
      <c r="E8" s="33" t="s">
        <v>379</v>
      </c>
      <c r="F8" s="34" t="s">
        <v>66</v>
      </c>
      <c r="G8" s="33" t="s">
        <v>380</v>
      </c>
      <c r="H8" s="35" t="s">
        <v>327</v>
      </c>
      <c r="I8" s="35"/>
      <c r="J8" s="33"/>
    </row>
    <row r="9" spans="1:10" ht="31.9" customHeight="1" x14ac:dyDescent="0.35">
      <c r="A9" s="31" t="s">
        <v>127</v>
      </c>
      <c r="B9" s="32" t="s">
        <v>381</v>
      </c>
      <c r="C9" s="31" t="s">
        <v>211</v>
      </c>
      <c r="D9" s="26" t="s">
        <v>212</v>
      </c>
      <c r="E9" s="33" t="s">
        <v>382</v>
      </c>
      <c r="F9" s="34" t="s">
        <v>66</v>
      </c>
      <c r="G9" s="33" t="s">
        <v>383</v>
      </c>
      <c r="H9" s="35" t="s">
        <v>327</v>
      </c>
      <c r="I9" s="35"/>
      <c r="J9" s="33"/>
    </row>
    <row r="10" spans="1:10" ht="31.9" customHeight="1" x14ac:dyDescent="0.35">
      <c r="A10" s="31" t="s">
        <v>112</v>
      </c>
      <c r="B10" s="32" t="s">
        <v>384</v>
      </c>
      <c r="C10" s="31" t="s">
        <v>211</v>
      </c>
      <c r="D10" s="26" t="s">
        <v>212</v>
      </c>
      <c r="E10" s="33" t="s">
        <v>385</v>
      </c>
      <c r="F10" s="34" t="s">
        <v>66</v>
      </c>
      <c r="G10" s="33" t="s">
        <v>386</v>
      </c>
      <c r="H10" s="35" t="s">
        <v>327</v>
      </c>
      <c r="I10" s="35"/>
      <c r="J10" s="33"/>
    </row>
    <row r="11" spans="1:10" ht="31.9" customHeight="1" x14ac:dyDescent="0.35">
      <c r="A11" s="31" t="s">
        <v>144</v>
      </c>
      <c r="B11" s="32" t="s">
        <v>387</v>
      </c>
      <c r="C11" s="31" t="s">
        <v>211</v>
      </c>
      <c r="D11" s="26" t="s">
        <v>212</v>
      </c>
      <c r="E11" s="33" t="s">
        <v>388</v>
      </c>
      <c r="F11" s="34" t="s">
        <v>66</v>
      </c>
      <c r="G11" s="33" t="s">
        <v>389</v>
      </c>
      <c r="H11" s="35" t="s">
        <v>327</v>
      </c>
      <c r="I11" s="35"/>
      <c r="J11" s="33"/>
    </row>
    <row r="12" spans="1:10" ht="31.9" customHeight="1" x14ac:dyDescent="0.35">
      <c r="A12" s="31" t="s">
        <v>250</v>
      </c>
      <c r="B12" s="32" t="s">
        <v>390</v>
      </c>
      <c r="C12" s="31" t="s">
        <v>211</v>
      </c>
      <c r="D12" s="26" t="s">
        <v>212</v>
      </c>
      <c r="E12" s="33" t="s">
        <v>391</v>
      </c>
      <c r="F12" s="34" t="s">
        <v>66</v>
      </c>
      <c r="G12" s="33" t="s">
        <v>392</v>
      </c>
      <c r="H12" s="35" t="s">
        <v>327</v>
      </c>
      <c r="I12" s="35"/>
      <c r="J12" s="33"/>
    </row>
    <row r="13" spans="1:10" ht="31.9" customHeight="1" x14ac:dyDescent="0.35">
      <c r="A13" s="31" t="s">
        <v>253</v>
      </c>
      <c r="B13" s="32" t="s">
        <v>393</v>
      </c>
      <c r="C13" s="31" t="s">
        <v>211</v>
      </c>
      <c r="D13" s="26" t="s">
        <v>212</v>
      </c>
      <c r="E13" s="33" t="s">
        <v>394</v>
      </c>
      <c r="F13" s="34" t="s">
        <v>66</v>
      </c>
      <c r="G13" s="33" t="s">
        <v>392</v>
      </c>
      <c r="H13" s="35" t="s">
        <v>327</v>
      </c>
      <c r="I13" s="35"/>
      <c r="J13" s="33"/>
    </row>
    <row r="14" spans="1:10" ht="31.9" customHeight="1" x14ac:dyDescent="0.35">
      <c r="A14" s="31" t="s">
        <v>139</v>
      </c>
      <c r="B14" s="32" t="s">
        <v>395</v>
      </c>
      <c r="C14" s="31" t="s">
        <v>211</v>
      </c>
      <c r="D14" s="26" t="s">
        <v>212</v>
      </c>
      <c r="E14" s="33" t="s">
        <v>396</v>
      </c>
      <c r="F14" s="34" t="s">
        <v>66</v>
      </c>
      <c r="G14" s="33" t="s">
        <v>392</v>
      </c>
      <c r="H14" s="35" t="s">
        <v>327</v>
      </c>
      <c r="I14" s="35"/>
      <c r="J14" s="33"/>
    </row>
    <row r="15" spans="1:10" ht="31.9" customHeight="1" x14ac:dyDescent="0.35">
      <c r="A15" s="31" t="s">
        <v>132</v>
      </c>
      <c r="B15" s="32" t="s">
        <v>397</v>
      </c>
      <c r="C15" s="31" t="s">
        <v>211</v>
      </c>
      <c r="D15" s="26" t="s">
        <v>212</v>
      </c>
      <c r="E15" s="33" t="s">
        <v>398</v>
      </c>
      <c r="F15" s="34" t="s">
        <v>66</v>
      </c>
      <c r="G15" s="33" t="s">
        <v>399</v>
      </c>
      <c r="H15" s="35" t="s">
        <v>302</v>
      </c>
      <c r="I15" s="35"/>
      <c r="J15" s="33"/>
    </row>
    <row r="16" spans="1:10" ht="31.9" customHeight="1" x14ac:dyDescent="0.35">
      <c r="A16" s="31" t="s">
        <v>262</v>
      </c>
      <c r="B16" s="32" t="s">
        <v>400</v>
      </c>
      <c r="C16" s="31" t="s">
        <v>211</v>
      </c>
      <c r="D16" s="26" t="s">
        <v>212</v>
      </c>
      <c r="E16" s="33" t="s">
        <v>401</v>
      </c>
      <c r="F16" s="34" t="s">
        <v>66</v>
      </c>
      <c r="G16" s="33" t="s">
        <v>402</v>
      </c>
      <c r="H16" s="35" t="s">
        <v>327</v>
      </c>
      <c r="I16" s="35"/>
      <c r="J16" s="33"/>
    </row>
    <row r="17" spans="1:10" ht="31.9" customHeight="1" x14ac:dyDescent="0.35">
      <c r="A17" s="31" t="s">
        <v>323</v>
      </c>
      <c r="B17" s="32" t="s">
        <v>403</v>
      </c>
      <c r="C17" s="31" t="s">
        <v>211</v>
      </c>
      <c r="D17" s="26" t="s">
        <v>212</v>
      </c>
      <c r="E17" s="33" t="s">
        <v>404</v>
      </c>
      <c r="F17" s="34" t="s">
        <v>66</v>
      </c>
      <c r="G17" s="33" t="s">
        <v>392</v>
      </c>
      <c r="H17" s="35" t="s">
        <v>327</v>
      </c>
      <c r="I17" s="35"/>
      <c r="J17" s="33"/>
    </row>
    <row r="18" spans="1:10" ht="31.9" customHeight="1" x14ac:dyDescent="0.35">
      <c r="A18" s="31" t="s">
        <v>328</v>
      </c>
      <c r="B18" s="32" t="s">
        <v>405</v>
      </c>
      <c r="C18" s="31" t="s">
        <v>211</v>
      </c>
      <c r="D18" s="26" t="s">
        <v>212</v>
      </c>
      <c r="E18" s="33" t="s">
        <v>406</v>
      </c>
      <c r="F18" s="34" t="s">
        <v>66</v>
      </c>
      <c r="G18" s="33" t="s">
        <v>407</v>
      </c>
      <c r="H18" s="35" t="s">
        <v>302</v>
      </c>
      <c r="I18" s="35"/>
      <c r="J18" s="33"/>
    </row>
    <row r="19" spans="1:10" ht="31.9" customHeight="1" x14ac:dyDescent="0.35">
      <c r="A19" s="31" t="s">
        <v>331</v>
      </c>
      <c r="B19" s="32" t="s">
        <v>408</v>
      </c>
      <c r="C19" s="31" t="s">
        <v>211</v>
      </c>
      <c r="D19" s="26" t="s">
        <v>212</v>
      </c>
      <c r="E19" s="33" t="s">
        <v>409</v>
      </c>
      <c r="F19" s="34" t="s">
        <v>66</v>
      </c>
      <c r="G19" s="33" t="s">
        <v>410</v>
      </c>
      <c r="H19" s="35" t="s">
        <v>302</v>
      </c>
      <c r="I19" s="35"/>
      <c r="J19" s="33"/>
    </row>
    <row r="20" spans="1:10" ht="31.9" customHeight="1" x14ac:dyDescent="0.35">
      <c r="A20" s="31" t="s">
        <v>334</v>
      </c>
      <c r="B20" s="32" t="s">
        <v>411</v>
      </c>
      <c r="C20" s="31" t="s">
        <v>211</v>
      </c>
      <c r="D20" s="26" t="s">
        <v>212</v>
      </c>
      <c r="E20" s="33" t="s">
        <v>412</v>
      </c>
      <c r="F20" s="34" t="s">
        <v>66</v>
      </c>
      <c r="G20" s="33" t="s">
        <v>413</v>
      </c>
      <c r="H20" s="35" t="s">
        <v>302</v>
      </c>
      <c r="I20" s="35"/>
      <c r="J20" s="33"/>
    </row>
    <row r="21" spans="1:10" ht="31.9" customHeight="1" x14ac:dyDescent="0.35">
      <c r="A21" s="31" t="s">
        <v>337</v>
      </c>
      <c r="B21" s="32" t="s">
        <v>414</v>
      </c>
      <c r="C21" s="31" t="s">
        <v>211</v>
      </c>
      <c r="D21" s="26" t="s">
        <v>212</v>
      </c>
      <c r="E21" s="33" t="s">
        <v>415</v>
      </c>
      <c r="F21" s="34" t="s">
        <v>66</v>
      </c>
      <c r="G21" s="33" t="s">
        <v>416</v>
      </c>
      <c r="H21" s="35" t="s">
        <v>302</v>
      </c>
      <c r="I21" s="35"/>
      <c r="J21" s="33"/>
    </row>
    <row r="22" spans="1:10" ht="31.9" customHeight="1" x14ac:dyDescent="0.35">
      <c r="A22" s="31" t="s">
        <v>341</v>
      </c>
      <c r="B22" s="32" t="s">
        <v>417</v>
      </c>
      <c r="C22" s="31" t="s">
        <v>211</v>
      </c>
      <c r="D22" s="26" t="s">
        <v>212</v>
      </c>
      <c r="E22" s="33" t="s">
        <v>418</v>
      </c>
      <c r="F22" s="34" t="s">
        <v>66</v>
      </c>
      <c r="G22" s="33" t="s">
        <v>419</v>
      </c>
      <c r="H22" s="35" t="s">
        <v>302</v>
      </c>
      <c r="I22" s="35"/>
      <c r="J22" s="33"/>
    </row>
    <row r="23" spans="1:10" ht="31.9" customHeight="1" x14ac:dyDescent="0.35">
      <c r="A23" s="31" t="s">
        <v>344</v>
      </c>
      <c r="B23" s="32" t="s">
        <v>420</v>
      </c>
      <c r="C23" s="31" t="s">
        <v>211</v>
      </c>
      <c r="D23" s="26" t="s">
        <v>212</v>
      </c>
      <c r="E23" s="33" t="s">
        <v>346</v>
      </c>
      <c r="F23" s="34" t="s">
        <v>66</v>
      </c>
      <c r="G23" s="33" t="s">
        <v>421</v>
      </c>
      <c r="H23" s="35" t="s">
        <v>302</v>
      </c>
      <c r="I23" s="35"/>
      <c r="J23" s="33"/>
    </row>
    <row r="24" spans="1:10" ht="31.9" customHeight="1" x14ac:dyDescent="0.35">
      <c r="A24" s="31" t="s">
        <v>347</v>
      </c>
      <c r="B24" s="32" t="s">
        <v>422</v>
      </c>
      <c r="C24" s="31" t="s">
        <v>211</v>
      </c>
      <c r="D24" s="26" t="s">
        <v>212</v>
      </c>
      <c r="E24" s="33" t="s">
        <v>423</v>
      </c>
      <c r="F24" s="34" t="s">
        <v>66</v>
      </c>
      <c r="G24" s="33" t="s">
        <v>413</v>
      </c>
      <c r="H24" s="35" t="s">
        <v>302</v>
      </c>
      <c r="I24" s="35"/>
      <c r="J24" s="33"/>
    </row>
    <row r="25" spans="1:10" ht="31.9" customHeight="1" x14ac:dyDescent="0.35">
      <c r="A25" s="31" t="s">
        <v>350</v>
      </c>
      <c r="B25" s="32" t="s">
        <v>424</v>
      </c>
      <c r="C25" s="31" t="s">
        <v>211</v>
      </c>
      <c r="D25" s="26" t="s">
        <v>212</v>
      </c>
      <c r="E25" s="33" t="s">
        <v>425</v>
      </c>
      <c r="F25" s="34" t="s">
        <v>66</v>
      </c>
      <c r="G25" s="33" t="s">
        <v>426</v>
      </c>
      <c r="H25" s="35" t="s">
        <v>302</v>
      </c>
      <c r="I25" s="35"/>
      <c r="J25" s="33"/>
    </row>
    <row r="26" spans="1:10" ht="31.9" customHeight="1" x14ac:dyDescent="0.35">
      <c r="A26" s="31" t="s">
        <v>353</v>
      </c>
      <c r="B26" s="32" t="s">
        <v>427</v>
      </c>
      <c r="C26" s="31" t="s">
        <v>211</v>
      </c>
      <c r="D26" s="26" t="s">
        <v>212</v>
      </c>
      <c r="E26" s="33" t="s">
        <v>428</v>
      </c>
      <c r="F26" s="34" t="s">
        <v>66</v>
      </c>
      <c r="G26" s="33" t="s">
        <v>429</v>
      </c>
      <c r="H26" s="35" t="s">
        <v>302</v>
      </c>
      <c r="I26" s="35"/>
      <c r="J26" s="33"/>
    </row>
    <row r="27" spans="1:10" ht="31.9" customHeight="1" x14ac:dyDescent="0.35">
      <c r="A27" s="31" t="s">
        <v>356</v>
      </c>
      <c r="B27" s="32" t="s">
        <v>430</v>
      </c>
      <c r="C27" s="31" t="s">
        <v>211</v>
      </c>
      <c r="D27" s="26" t="s">
        <v>212</v>
      </c>
      <c r="E27" s="33" t="s">
        <v>431</v>
      </c>
      <c r="F27" s="34" t="s">
        <v>66</v>
      </c>
      <c r="G27" s="33" t="s">
        <v>429</v>
      </c>
      <c r="H27" s="35" t="s">
        <v>302</v>
      </c>
      <c r="I27" s="35"/>
      <c r="J27" s="33"/>
    </row>
    <row r="28" spans="1:10" ht="31.9" customHeight="1" x14ac:dyDescent="0.35">
      <c r="A28" s="31" t="s">
        <v>359</v>
      </c>
      <c r="B28" s="32" t="s">
        <v>263</v>
      </c>
      <c r="C28" s="31" t="s">
        <v>211</v>
      </c>
      <c r="D28" s="26" t="s">
        <v>212</v>
      </c>
      <c r="E28" s="33" t="s">
        <v>432</v>
      </c>
      <c r="F28" s="34" t="s">
        <v>66</v>
      </c>
      <c r="G28" s="33" t="s">
        <v>413</v>
      </c>
      <c r="H28" s="35" t="s">
        <v>302</v>
      </c>
      <c r="I28" s="35"/>
      <c r="J28" s="33"/>
    </row>
    <row r="29" spans="1:10" ht="31.9" customHeight="1" x14ac:dyDescent="0.35">
      <c r="A29" s="7" t="s">
        <v>265</v>
      </c>
      <c r="B29" s="30" t="s">
        <v>433</v>
      </c>
      <c r="C29" s="7" t="s">
        <v>267</v>
      </c>
      <c r="D29" s="22" t="s">
        <v>64</v>
      </c>
      <c r="E29" s="33" t="s">
        <v>268</v>
      </c>
      <c r="F29" s="34" t="s">
        <v>66</v>
      </c>
      <c r="G29" s="33" t="s">
        <v>273</v>
      </c>
      <c r="H29" s="35" t="s">
        <v>270</v>
      </c>
      <c r="I29" s="35"/>
      <c r="J29" s="33"/>
    </row>
    <row r="30" spans="1:10" ht="31.9" customHeight="1" x14ac:dyDescent="0.35">
      <c r="A30" s="7" t="s">
        <v>271</v>
      </c>
      <c r="B30" s="30" t="s">
        <v>434</v>
      </c>
      <c r="C30" s="7" t="s">
        <v>267</v>
      </c>
      <c r="D30" s="22" t="s">
        <v>64</v>
      </c>
      <c r="E30" s="33" t="s">
        <v>268</v>
      </c>
      <c r="F30" s="34" t="s">
        <v>66</v>
      </c>
      <c r="G30" s="33" t="s">
        <v>435</v>
      </c>
      <c r="H30" s="35" t="s">
        <v>270</v>
      </c>
      <c r="I30" s="35"/>
      <c r="J30" s="33"/>
    </row>
    <row r="31" spans="1:10" ht="31.9" customHeight="1" x14ac:dyDescent="0.35">
      <c r="A31" s="7" t="s">
        <v>274</v>
      </c>
      <c r="B31" s="30" t="s">
        <v>436</v>
      </c>
      <c r="C31" s="7" t="s">
        <v>267</v>
      </c>
      <c r="D31" s="22" t="s">
        <v>64</v>
      </c>
      <c r="E31" s="33" t="s">
        <v>268</v>
      </c>
      <c r="F31" s="34" t="s">
        <v>66</v>
      </c>
      <c r="G31" s="33" t="s">
        <v>273</v>
      </c>
      <c r="H31" s="35" t="s">
        <v>270</v>
      </c>
      <c r="I31" s="35"/>
      <c r="J31" s="33"/>
    </row>
    <row r="32" spans="1:10" ht="31.9" customHeight="1" x14ac:dyDescent="0.35">
      <c r="A32" s="7" t="s">
        <v>276</v>
      </c>
      <c r="B32" s="30" t="s">
        <v>437</v>
      </c>
      <c r="C32" s="7" t="s">
        <v>267</v>
      </c>
      <c r="D32" s="22" t="s">
        <v>64</v>
      </c>
      <c r="E32" s="33" t="s">
        <v>268</v>
      </c>
      <c r="F32" s="34" t="s">
        <v>66</v>
      </c>
      <c r="G32" s="33" t="s">
        <v>438</v>
      </c>
      <c r="H32" s="35" t="s">
        <v>270</v>
      </c>
      <c r="I32" s="35"/>
      <c r="J32" s="33"/>
    </row>
    <row r="33" spans="1:10" ht="31.9" customHeight="1" x14ac:dyDescent="0.35">
      <c r="A33" s="7" t="s">
        <v>278</v>
      </c>
      <c r="B33" s="30" t="s">
        <v>439</v>
      </c>
      <c r="C33" s="7" t="s">
        <v>267</v>
      </c>
      <c r="D33" s="22" t="s">
        <v>64</v>
      </c>
      <c r="E33" s="33" t="s">
        <v>268</v>
      </c>
      <c r="F33" s="34" t="s">
        <v>66</v>
      </c>
      <c r="G33" s="33" t="s">
        <v>273</v>
      </c>
      <c r="H33" s="35" t="s">
        <v>270</v>
      </c>
      <c r="I33" s="35"/>
      <c r="J33" s="33"/>
    </row>
    <row r="34" spans="1:10" ht="31.9" customHeight="1" x14ac:dyDescent="0.35">
      <c r="A34" s="7" t="s">
        <v>281</v>
      </c>
      <c r="B34" s="30" t="s">
        <v>440</v>
      </c>
      <c r="C34" s="7" t="s">
        <v>267</v>
      </c>
      <c r="D34" s="22" t="s">
        <v>64</v>
      </c>
      <c r="E34" s="33" t="s">
        <v>268</v>
      </c>
      <c r="F34" s="34" t="s">
        <v>66</v>
      </c>
      <c r="G34" s="33" t="s">
        <v>273</v>
      </c>
      <c r="H34" s="35" t="s">
        <v>270</v>
      </c>
      <c r="I34" s="35"/>
      <c r="J34" s="33"/>
    </row>
    <row r="35" spans="1:10" ht="31.9" customHeight="1" x14ac:dyDescent="0.35">
      <c r="A35" s="7" t="s">
        <v>283</v>
      </c>
      <c r="B35" s="30" t="s">
        <v>441</v>
      </c>
      <c r="C35" s="7" t="s">
        <v>267</v>
      </c>
      <c r="D35" s="22" t="s">
        <v>64</v>
      </c>
      <c r="E35" s="33" t="s">
        <v>268</v>
      </c>
      <c r="F35" s="34" t="s">
        <v>66</v>
      </c>
      <c r="G35" s="33" t="s">
        <v>442</v>
      </c>
      <c r="H35" s="35" t="s">
        <v>270</v>
      </c>
      <c r="I35" s="35"/>
      <c r="J35" s="33"/>
    </row>
    <row r="36" spans="1:10" ht="31.9" customHeight="1" x14ac:dyDescent="0.35">
      <c r="A36" s="7" t="s">
        <v>285</v>
      </c>
      <c r="B36" s="30" t="s">
        <v>443</v>
      </c>
      <c r="C36" s="7" t="s">
        <v>267</v>
      </c>
      <c r="D36" s="22" t="s">
        <v>64</v>
      </c>
      <c r="E36" s="33" t="s">
        <v>268</v>
      </c>
      <c r="F36" s="34" t="s">
        <v>66</v>
      </c>
      <c r="G36" s="33" t="s">
        <v>444</v>
      </c>
      <c r="H36" s="35" t="s">
        <v>270</v>
      </c>
      <c r="I36" s="35"/>
      <c r="J36" s="33"/>
    </row>
    <row r="37" spans="1:10" ht="31.9" customHeight="1" x14ac:dyDescent="0.35">
      <c r="A37" s="7" t="s">
        <v>287</v>
      </c>
      <c r="B37" s="30" t="s">
        <v>445</v>
      </c>
      <c r="C37" s="7" t="s">
        <v>267</v>
      </c>
      <c r="D37" s="22" t="s">
        <v>64</v>
      </c>
      <c r="E37" s="33" t="s">
        <v>268</v>
      </c>
      <c r="F37" s="34" t="s">
        <v>66</v>
      </c>
      <c r="G37" s="33" t="s">
        <v>273</v>
      </c>
      <c r="H37" s="35" t="s">
        <v>270</v>
      </c>
      <c r="I37" s="35"/>
      <c r="J37" s="33"/>
    </row>
    <row r="38" spans="1:10" ht="31.9" customHeight="1" x14ac:dyDescent="0.35">
      <c r="A38" s="7" t="s">
        <v>446</v>
      </c>
      <c r="B38" s="30" t="s">
        <v>447</v>
      </c>
      <c r="C38" s="7" t="s">
        <v>267</v>
      </c>
      <c r="D38" s="22" t="s">
        <v>64</v>
      </c>
      <c r="E38" s="33" t="s">
        <v>268</v>
      </c>
      <c r="F38" s="34" t="s">
        <v>66</v>
      </c>
      <c r="G38" s="33" t="s">
        <v>273</v>
      </c>
      <c r="H38" s="35" t="s">
        <v>270</v>
      </c>
      <c r="I38" s="35"/>
      <c r="J38" s="33"/>
    </row>
    <row r="39" spans="1:10" ht="31.9" customHeight="1" x14ac:dyDescent="0.35">
      <c r="A39" s="7" t="s">
        <v>448</v>
      </c>
      <c r="B39" s="30" t="s">
        <v>449</v>
      </c>
      <c r="C39" s="7" t="s">
        <v>267</v>
      </c>
      <c r="D39" s="22" t="s">
        <v>64</v>
      </c>
      <c r="E39" s="33" t="s">
        <v>268</v>
      </c>
      <c r="F39" s="34" t="s">
        <v>66</v>
      </c>
      <c r="G39" s="33" t="s">
        <v>450</v>
      </c>
      <c r="H39" s="35" t="s">
        <v>270</v>
      </c>
      <c r="I39" s="35"/>
      <c r="J39" s="33"/>
    </row>
    <row r="40" spans="1:10" ht="31.9" customHeight="1" x14ac:dyDescent="0.35">
      <c r="A40" s="7" t="s">
        <v>451</v>
      </c>
      <c r="B40" s="30" t="s">
        <v>452</v>
      </c>
      <c r="C40" s="7" t="s">
        <v>267</v>
      </c>
      <c r="D40" s="22" t="s">
        <v>64</v>
      </c>
      <c r="E40" s="33" t="s">
        <v>268</v>
      </c>
      <c r="F40" s="34" t="s">
        <v>66</v>
      </c>
      <c r="G40" s="33" t="s">
        <v>273</v>
      </c>
      <c r="H40" s="35" t="s">
        <v>270</v>
      </c>
      <c r="I40" s="35"/>
      <c r="J40" s="33"/>
    </row>
    <row r="41" spans="1:10" ht="31.9" customHeight="1" x14ac:dyDescent="0.35">
      <c r="A41" s="7" t="s">
        <v>453</v>
      </c>
      <c r="B41" s="30" t="s">
        <v>454</v>
      </c>
      <c r="C41" s="7" t="s">
        <v>267</v>
      </c>
      <c r="D41" s="22" t="s">
        <v>64</v>
      </c>
      <c r="E41" s="33" t="s">
        <v>268</v>
      </c>
      <c r="F41" s="34" t="s">
        <v>66</v>
      </c>
      <c r="G41" s="33" t="s">
        <v>273</v>
      </c>
      <c r="H41" s="35" t="s">
        <v>270</v>
      </c>
      <c r="I41" s="35"/>
      <c r="J41" s="33"/>
    </row>
    <row r="43" spans="1:10" ht="19.899999999999999" customHeight="1" x14ac:dyDescent="0.35">
      <c r="A43" s="42" t="s">
        <v>455</v>
      </c>
      <c r="B43" s="39"/>
      <c r="C43" s="39"/>
      <c r="D43" s="39"/>
      <c r="E43" s="39"/>
      <c r="F43" s="39"/>
      <c r="G43" s="39"/>
      <c r="H43" s="39"/>
      <c r="I43" s="39"/>
      <c r="J43" s="39"/>
    </row>
    <row r="44" spans="1:10" ht="37.9" customHeight="1" x14ac:dyDescent="0.35">
      <c r="A44" s="36" t="s">
        <v>225</v>
      </c>
      <c r="B44" s="40" t="s">
        <v>456</v>
      </c>
      <c r="C44" s="39"/>
      <c r="D44" s="39"/>
      <c r="E44" s="39"/>
      <c r="F44" s="39"/>
      <c r="G44" s="39"/>
      <c r="H44" s="39"/>
      <c r="I44" s="39"/>
      <c r="J44" s="39"/>
    </row>
    <row r="45" spans="1:10" ht="37.9" customHeight="1" x14ac:dyDescent="0.35">
      <c r="A45" s="36" t="s">
        <v>227</v>
      </c>
      <c r="B45" s="40" t="s">
        <v>457</v>
      </c>
      <c r="C45" s="39"/>
      <c r="D45" s="39"/>
      <c r="E45" s="39"/>
      <c r="F45" s="39"/>
      <c r="G45" s="39"/>
      <c r="H45" s="39"/>
      <c r="I45" s="39"/>
      <c r="J45" s="39"/>
    </row>
    <row r="46" spans="1:10" ht="37.9" customHeight="1" x14ac:dyDescent="0.35">
      <c r="A46" s="36" t="s">
        <v>458</v>
      </c>
      <c r="B46" s="40" t="s">
        <v>459</v>
      </c>
      <c r="C46" s="39"/>
      <c r="D46" s="39"/>
      <c r="E46" s="39"/>
      <c r="F46" s="39"/>
      <c r="G46" s="39"/>
      <c r="H46" s="39"/>
      <c r="I46" s="39"/>
      <c r="J46" s="39"/>
    </row>
    <row r="47" spans="1:10" ht="37.9" customHeight="1" x14ac:dyDescent="0.35">
      <c r="A47" s="36" t="s">
        <v>460</v>
      </c>
      <c r="B47" s="40" t="s">
        <v>461</v>
      </c>
      <c r="C47" s="39"/>
      <c r="D47" s="39"/>
      <c r="E47" s="39"/>
      <c r="F47" s="39"/>
      <c r="G47" s="39"/>
      <c r="H47" s="39"/>
      <c r="I47" s="39"/>
      <c r="J47" s="39"/>
    </row>
    <row r="48" spans="1:10" ht="37.9" customHeight="1" x14ac:dyDescent="0.35">
      <c r="A48" s="36" t="s">
        <v>231</v>
      </c>
      <c r="B48" s="40" t="s">
        <v>462</v>
      </c>
      <c r="C48" s="39"/>
      <c r="D48" s="39"/>
      <c r="E48" s="39"/>
      <c r="F48" s="39"/>
      <c r="G48" s="39"/>
      <c r="H48" s="39"/>
      <c r="I48" s="39"/>
      <c r="J48" s="39"/>
    </row>
    <row r="49" spans="1:10" ht="37.9" customHeight="1" x14ac:dyDescent="0.35">
      <c r="A49" s="36" t="s">
        <v>463</v>
      </c>
      <c r="B49" s="40" t="s">
        <v>464</v>
      </c>
      <c r="C49" s="39"/>
      <c r="D49" s="39"/>
      <c r="E49" s="39"/>
      <c r="F49" s="39"/>
      <c r="G49" s="39"/>
      <c r="H49" s="39"/>
      <c r="I49" s="39"/>
      <c r="J49" s="39"/>
    </row>
  </sheetData>
  <mergeCells count="10">
    <mergeCell ref="B49:J49"/>
    <mergeCell ref="B44:J44"/>
    <mergeCell ref="B48:J48"/>
    <mergeCell ref="A1:J2"/>
    <mergeCell ref="B45:J45"/>
    <mergeCell ref="B46:J46"/>
    <mergeCell ref="B47:J47"/>
    <mergeCell ref="A3:J3"/>
    <mergeCell ref="A4:J4"/>
    <mergeCell ref="A43:J4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1"/>
  <sheetViews>
    <sheetView showGridLines="0" workbookViewId="0">
      <pane ySplit="5" topLeftCell="A6" activePane="bottomLeft" state="frozen"/>
      <selection pane="bottomLeft" activeCell="A3" sqref="A3:J3"/>
    </sheetView>
  </sheetViews>
  <sheetFormatPr defaultRowHeight="14.5" x14ac:dyDescent="0.35"/>
  <cols>
    <col min="1" max="1" width="14" customWidth="1"/>
    <col min="2" max="2" width="40" customWidth="1"/>
    <col min="3" max="3" width="20" customWidth="1"/>
    <col min="4" max="4" width="22" customWidth="1"/>
    <col min="5" max="5" width="48" customWidth="1"/>
    <col min="6" max="6" width="22" customWidth="1"/>
    <col min="7" max="7" width="55" customWidth="1"/>
    <col min="8" max="8" width="24" customWidth="1"/>
    <col min="9" max="9" width="16" customWidth="1"/>
    <col min="10" max="10" width="30" customWidth="1"/>
  </cols>
  <sheetData>
    <row r="1" spans="1:10" ht="28.15" customHeight="1" x14ac:dyDescent="0.35">
      <c r="A1" s="46" t="s">
        <v>465</v>
      </c>
      <c r="B1" s="39"/>
      <c r="C1" s="39"/>
      <c r="D1" s="39"/>
      <c r="E1" s="39"/>
      <c r="F1" s="39"/>
      <c r="G1" s="39"/>
      <c r="H1" s="39"/>
      <c r="I1" s="39"/>
      <c r="J1" s="39"/>
    </row>
    <row r="2" spans="1:10" ht="6" customHeight="1" x14ac:dyDescent="0.35">
      <c r="A2" s="39"/>
      <c r="B2" s="39"/>
      <c r="C2" s="39"/>
      <c r="D2" s="39"/>
      <c r="E2" s="39"/>
      <c r="F2" s="39"/>
      <c r="G2" s="39"/>
      <c r="H2" s="39"/>
      <c r="I2" s="39"/>
      <c r="J2" s="39"/>
    </row>
    <row r="3" spans="1:10" ht="24" customHeight="1" x14ac:dyDescent="0.35">
      <c r="A3" s="43" t="s">
        <v>197</v>
      </c>
      <c r="B3" s="39"/>
      <c r="C3" s="39"/>
      <c r="D3" s="39"/>
      <c r="E3" s="39"/>
      <c r="F3" s="39"/>
      <c r="G3" s="39"/>
      <c r="H3" s="39"/>
      <c r="I3" s="39"/>
      <c r="J3" s="39"/>
    </row>
    <row r="4" spans="1:10" ht="36" customHeight="1" x14ac:dyDescent="0.35">
      <c r="A4" s="45" t="s">
        <v>234</v>
      </c>
      <c r="B4" s="39"/>
      <c r="C4" s="39"/>
      <c r="D4" s="39"/>
      <c r="E4" s="39"/>
      <c r="F4" s="39"/>
      <c r="G4" s="39"/>
      <c r="H4" s="39"/>
      <c r="I4" s="39"/>
      <c r="J4" s="39"/>
    </row>
    <row r="5" spans="1:10" ht="6" customHeight="1" x14ac:dyDescent="0.35"/>
    <row r="6" spans="1:10" ht="48" customHeight="1" x14ac:dyDescent="0.35">
      <c r="A6" s="21" t="s">
        <v>199</v>
      </c>
      <c r="B6" s="21" t="s">
        <v>200</v>
      </c>
      <c r="C6" s="21" t="s">
        <v>201</v>
      </c>
      <c r="D6" s="21" t="s">
        <v>202</v>
      </c>
      <c r="E6" s="21" t="s">
        <v>203</v>
      </c>
      <c r="F6" s="21" t="s">
        <v>204</v>
      </c>
      <c r="G6" s="21" t="s">
        <v>205</v>
      </c>
      <c r="H6" s="21" t="s">
        <v>206</v>
      </c>
      <c r="I6" s="21" t="s">
        <v>207</v>
      </c>
      <c r="J6" s="21" t="s">
        <v>208</v>
      </c>
    </row>
    <row r="7" spans="1:10" ht="31.9" customHeight="1" x14ac:dyDescent="0.35">
      <c r="A7" s="31" t="s">
        <v>209</v>
      </c>
      <c r="B7" s="32" t="s">
        <v>299</v>
      </c>
      <c r="C7" s="31" t="s">
        <v>211</v>
      </c>
      <c r="D7" s="26" t="s">
        <v>212</v>
      </c>
      <c r="E7" s="33" t="s">
        <v>466</v>
      </c>
      <c r="F7" s="34" t="s">
        <v>66</v>
      </c>
      <c r="G7" s="33" t="s">
        <v>220</v>
      </c>
      <c r="H7" s="35" t="s">
        <v>22</v>
      </c>
      <c r="I7" s="35"/>
      <c r="J7" s="33"/>
    </row>
    <row r="8" spans="1:10" ht="31.9" customHeight="1" x14ac:dyDescent="0.35">
      <c r="A8" s="31" t="s">
        <v>105</v>
      </c>
      <c r="B8" s="32" t="s">
        <v>403</v>
      </c>
      <c r="C8" s="31" t="s">
        <v>211</v>
      </c>
      <c r="D8" s="26" t="s">
        <v>212</v>
      </c>
      <c r="E8" s="33" t="s">
        <v>467</v>
      </c>
      <c r="F8" s="34" t="s">
        <v>66</v>
      </c>
      <c r="G8" s="33" t="s">
        <v>319</v>
      </c>
      <c r="H8" s="35" t="s">
        <v>22</v>
      </c>
      <c r="I8" s="35"/>
      <c r="J8" s="33"/>
    </row>
    <row r="9" spans="1:10" ht="31.9" customHeight="1" x14ac:dyDescent="0.35">
      <c r="A9" s="31" t="s">
        <v>127</v>
      </c>
      <c r="B9" s="32" t="s">
        <v>468</v>
      </c>
      <c r="C9" s="31" t="s">
        <v>211</v>
      </c>
      <c r="D9" s="26" t="s">
        <v>212</v>
      </c>
      <c r="E9" s="33" t="s">
        <v>469</v>
      </c>
      <c r="F9" s="34" t="s">
        <v>66</v>
      </c>
      <c r="G9" s="33" t="s">
        <v>319</v>
      </c>
      <c r="H9" s="35" t="s">
        <v>22</v>
      </c>
      <c r="I9" s="35"/>
      <c r="J9" s="33"/>
    </row>
    <row r="10" spans="1:10" ht="31.9" customHeight="1" x14ac:dyDescent="0.35">
      <c r="A10" s="31" t="s">
        <v>112</v>
      </c>
      <c r="B10" s="32" t="s">
        <v>470</v>
      </c>
      <c r="C10" s="31" t="s">
        <v>211</v>
      </c>
      <c r="D10" s="26" t="s">
        <v>212</v>
      </c>
      <c r="E10" s="33" t="s">
        <v>471</v>
      </c>
      <c r="F10" s="34" t="s">
        <v>66</v>
      </c>
      <c r="G10" s="33" t="s">
        <v>472</v>
      </c>
      <c r="H10" s="35" t="s">
        <v>22</v>
      </c>
      <c r="I10" s="35"/>
      <c r="J10" s="33"/>
    </row>
    <row r="11" spans="1:10" ht="31.9" customHeight="1" x14ac:dyDescent="0.35">
      <c r="A11" s="31" t="s">
        <v>144</v>
      </c>
      <c r="B11" s="32" t="s">
        <v>473</v>
      </c>
      <c r="C11" s="31" t="s">
        <v>211</v>
      </c>
      <c r="D11" s="26" t="s">
        <v>212</v>
      </c>
      <c r="E11" s="33" t="s">
        <v>474</v>
      </c>
      <c r="F11" s="34" t="s">
        <v>66</v>
      </c>
      <c r="G11" s="33" t="s">
        <v>475</v>
      </c>
      <c r="H11" s="35" t="s">
        <v>22</v>
      </c>
      <c r="I11" s="35"/>
      <c r="J11" s="33"/>
    </row>
    <row r="12" spans="1:10" ht="31.9" customHeight="1" x14ac:dyDescent="0.35">
      <c r="A12" s="31" t="s">
        <v>250</v>
      </c>
      <c r="B12" s="32" t="s">
        <v>476</v>
      </c>
      <c r="C12" s="31" t="s">
        <v>211</v>
      </c>
      <c r="D12" s="26" t="s">
        <v>212</v>
      </c>
      <c r="E12" s="33" t="s">
        <v>477</v>
      </c>
      <c r="F12" s="34" t="s">
        <v>66</v>
      </c>
      <c r="G12" s="33" t="s">
        <v>319</v>
      </c>
      <c r="H12" s="35" t="s">
        <v>22</v>
      </c>
      <c r="I12" s="35"/>
      <c r="J12" s="33"/>
    </row>
    <row r="13" spans="1:10" ht="31.9" customHeight="1" x14ac:dyDescent="0.35">
      <c r="A13" s="31" t="s">
        <v>253</v>
      </c>
      <c r="B13" s="32" t="s">
        <v>478</v>
      </c>
      <c r="C13" s="31" t="s">
        <v>211</v>
      </c>
      <c r="D13" s="26" t="s">
        <v>212</v>
      </c>
      <c r="E13" s="33" t="s">
        <v>479</v>
      </c>
      <c r="F13" s="34" t="s">
        <v>66</v>
      </c>
      <c r="G13" s="33" t="s">
        <v>319</v>
      </c>
      <c r="H13" s="35" t="s">
        <v>22</v>
      </c>
      <c r="I13" s="35"/>
      <c r="J13" s="33"/>
    </row>
    <row r="14" spans="1:10" ht="31.9" customHeight="1" x14ac:dyDescent="0.35">
      <c r="A14" s="31" t="s">
        <v>139</v>
      </c>
      <c r="B14" s="32" t="s">
        <v>480</v>
      </c>
      <c r="C14" s="31" t="s">
        <v>211</v>
      </c>
      <c r="D14" s="26" t="s">
        <v>212</v>
      </c>
      <c r="E14" s="33" t="s">
        <v>481</v>
      </c>
      <c r="F14" s="34" t="s">
        <v>66</v>
      </c>
      <c r="G14" s="33" t="s">
        <v>319</v>
      </c>
      <c r="H14" s="35" t="s">
        <v>22</v>
      </c>
      <c r="I14" s="35"/>
      <c r="J14" s="33"/>
    </row>
    <row r="15" spans="1:10" ht="31.9" customHeight="1" x14ac:dyDescent="0.35">
      <c r="A15" s="7" t="s">
        <v>265</v>
      </c>
      <c r="B15" s="30" t="s">
        <v>482</v>
      </c>
      <c r="C15" s="7" t="s">
        <v>267</v>
      </c>
      <c r="D15" s="22" t="s">
        <v>64</v>
      </c>
      <c r="E15" s="33" t="s">
        <v>268</v>
      </c>
      <c r="F15" s="34" t="s">
        <v>66</v>
      </c>
      <c r="G15" s="33" t="s">
        <v>483</v>
      </c>
      <c r="H15" s="35" t="s">
        <v>270</v>
      </c>
      <c r="I15" s="35"/>
      <c r="J15" s="33"/>
    </row>
    <row r="16" spans="1:10" ht="31.9" customHeight="1" x14ac:dyDescent="0.35">
      <c r="A16" s="7" t="s">
        <v>271</v>
      </c>
      <c r="B16" s="30" t="s">
        <v>454</v>
      </c>
      <c r="C16" s="7" t="s">
        <v>267</v>
      </c>
      <c r="D16" s="22" t="s">
        <v>64</v>
      </c>
      <c r="E16" s="33" t="s">
        <v>268</v>
      </c>
      <c r="F16" s="34" t="s">
        <v>66</v>
      </c>
      <c r="G16" s="33" t="s">
        <v>484</v>
      </c>
      <c r="H16" s="35" t="s">
        <v>270</v>
      </c>
      <c r="I16" s="35"/>
      <c r="J16" s="33"/>
    </row>
    <row r="18" spans="1:10" ht="19.899999999999999" customHeight="1" x14ac:dyDescent="0.35">
      <c r="A18" s="42" t="s">
        <v>485</v>
      </c>
      <c r="B18" s="39"/>
      <c r="C18" s="39"/>
      <c r="D18" s="39"/>
      <c r="E18" s="39"/>
      <c r="F18" s="39"/>
      <c r="G18" s="39"/>
      <c r="H18" s="39"/>
      <c r="I18" s="39"/>
      <c r="J18" s="39"/>
    </row>
    <row r="19" spans="1:10" ht="37.9" customHeight="1" x14ac:dyDescent="0.35">
      <c r="A19" s="36" t="s">
        <v>225</v>
      </c>
      <c r="B19" s="40" t="s">
        <v>486</v>
      </c>
      <c r="C19" s="39"/>
      <c r="D19" s="39"/>
      <c r="E19" s="39"/>
      <c r="F19" s="39"/>
      <c r="G19" s="39"/>
      <c r="H19" s="39"/>
      <c r="I19" s="39"/>
      <c r="J19" s="39"/>
    </row>
    <row r="20" spans="1:10" ht="37.9" customHeight="1" x14ac:dyDescent="0.35">
      <c r="A20" s="36" t="s">
        <v>487</v>
      </c>
      <c r="B20" s="40" t="s">
        <v>488</v>
      </c>
      <c r="C20" s="39"/>
      <c r="D20" s="39"/>
      <c r="E20" s="39"/>
      <c r="F20" s="39"/>
      <c r="G20" s="39"/>
      <c r="H20" s="39"/>
      <c r="I20" s="39"/>
      <c r="J20" s="39"/>
    </row>
    <row r="21" spans="1:10" ht="37.9" customHeight="1" x14ac:dyDescent="0.35">
      <c r="A21" s="36" t="s">
        <v>296</v>
      </c>
      <c r="B21" s="40" t="s">
        <v>489</v>
      </c>
      <c r="C21" s="39"/>
      <c r="D21" s="39"/>
      <c r="E21" s="39"/>
      <c r="F21" s="39"/>
      <c r="G21" s="39"/>
      <c r="H21" s="39"/>
      <c r="I21" s="39"/>
      <c r="J21" s="39"/>
    </row>
  </sheetData>
  <mergeCells count="7">
    <mergeCell ref="B21:J21"/>
    <mergeCell ref="A1:J2"/>
    <mergeCell ref="B19:J19"/>
    <mergeCell ref="B20:J20"/>
    <mergeCell ref="A18:J18"/>
    <mergeCell ref="A3:J3"/>
    <mergeCell ref="A4:J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3"/>
  <sheetViews>
    <sheetView showGridLines="0" workbookViewId="0">
      <pane ySplit="5" topLeftCell="A6" activePane="bottomLeft" state="frozen"/>
      <selection pane="bottomLeft" activeCell="E7" sqref="E7"/>
    </sheetView>
  </sheetViews>
  <sheetFormatPr defaultRowHeight="14.5" x14ac:dyDescent="0.35"/>
  <cols>
    <col min="1" max="1" width="14" customWidth="1"/>
    <col min="2" max="2" width="40" customWidth="1"/>
    <col min="3" max="3" width="20" customWidth="1"/>
    <col min="4" max="4" width="22" customWidth="1"/>
    <col min="5" max="5" width="48" customWidth="1"/>
    <col min="6" max="6" width="22" customWidth="1"/>
    <col min="7" max="7" width="55" customWidth="1"/>
    <col min="8" max="8" width="24" customWidth="1"/>
    <col min="9" max="9" width="16" customWidth="1"/>
    <col min="10" max="10" width="30" customWidth="1"/>
  </cols>
  <sheetData>
    <row r="1" spans="1:10" ht="28.15" customHeight="1" x14ac:dyDescent="0.35">
      <c r="A1" s="46" t="s">
        <v>490</v>
      </c>
      <c r="B1" s="39"/>
      <c r="C1" s="39"/>
      <c r="D1" s="39"/>
      <c r="E1" s="39"/>
      <c r="F1" s="39"/>
      <c r="G1" s="39"/>
      <c r="H1" s="39"/>
      <c r="I1" s="39"/>
      <c r="J1" s="39"/>
    </row>
    <row r="2" spans="1:10" ht="6" customHeight="1" x14ac:dyDescent="0.35">
      <c r="A2" s="39"/>
      <c r="B2" s="39"/>
      <c r="C2" s="39"/>
      <c r="D2" s="39"/>
      <c r="E2" s="39"/>
      <c r="F2" s="39"/>
      <c r="G2" s="39"/>
      <c r="H2" s="39"/>
      <c r="I2" s="39"/>
      <c r="J2" s="39"/>
    </row>
    <row r="3" spans="1:10" ht="24" customHeight="1" x14ac:dyDescent="0.35">
      <c r="A3" s="43" t="s">
        <v>197</v>
      </c>
      <c r="B3" s="39"/>
      <c r="C3" s="39"/>
      <c r="D3" s="39"/>
      <c r="E3" s="39"/>
      <c r="F3" s="39"/>
      <c r="G3" s="39"/>
      <c r="H3" s="39"/>
      <c r="I3" s="39"/>
      <c r="J3" s="39"/>
    </row>
    <row r="4" spans="1:10" ht="36" customHeight="1" x14ac:dyDescent="0.35">
      <c r="A4" s="45" t="s">
        <v>198</v>
      </c>
      <c r="B4" s="39"/>
      <c r="C4" s="39"/>
      <c r="D4" s="39"/>
      <c r="E4" s="39"/>
      <c r="F4" s="39"/>
      <c r="G4" s="39"/>
      <c r="H4" s="39"/>
      <c r="I4" s="39"/>
      <c r="J4" s="39"/>
    </row>
    <row r="5" spans="1:10" ht="6" customHeight="1" x14ac:dyDescent="0.35"/>
    <row r="6" spans="1:10" ht="48" customHeight="1" x14ac:dyDescent="0.35">
      <c r="A6" s="21" t="s">
        <v>199</v>
      </c>
      <c r="B6" s="21" t="s">
        <v>200</v>
      </c>
      <c r="C6" s="21" t="s">
        <v>201</v>
      </c>
      <c r="D6" s="21" t="s">
        <v>202</v>
      </c>
      <c r="E6" s="21" t="s">
        <v>203</v>
      </c>
      <c r="F6" s="21" t="s">
        <v>204</v>
      </c>
      <c r="G6" s="21" t="s">
        <v>205</v>
      </c>
      <c r="H6" s="21" t="s">
        <v>206</v>
      </c>
      <c r="I6" s="21" t="s">
        <v>207</v>
      </c>
      <c r="J6" s="21" t="s">
        <v>208</v>
      </c>
    </row>
    <row r="7" spans="1:10" ht="31.9" customHeight="1" x14ac:dyDescent="0.35">
      <c r="A7" s="31" t="s">
        <v>209</v>
      </c>
      <c r="B7" s="32" t="s">
        <v>491</v>
      </c>
      <c r="C7" s="31" t="s">
        <v>211</v>
      </c>
      <c r="D7" s="26" t="s">
        <v>212</v>
      </c>
      <c r="E7" s="33" t="s">
        <v>492</v>
      </c>
      <c r="F7" s="34" t="s">
        <v>66</v>
      </c>
      <c r="G7" s="33" t="s">
        <v>493</v>
      </c>
      <c r="H7" s="35" t="s">
        <v>22</v>
      </c>
      <c r="I7" s="35"/>
      <c r="J7" s="33"/>
    </row>
    <row r="8" spans="1:10" ht="31.9" customHeight="1" x14ac:dyDescent="0.35">
      <c r="A8" s="31" t="s">
        <v>105</v>
      </c>
      <c r="B8" s="32" t="s">
        <v>494</v>
      </c>
      <c r="C8" s="31" t="s">
        <v>211</v>
      </c>
      <c r="D8" s="26" t="s">
        <v>212</v>
      </c>
      <c r="E8" s="33" t="s">
        <v>495</v>
      </c>
      <c r="F8" s="34" t="s">
        <v>66</v>
      </c>
      <c r="G8" s="33" t="s">
        <v>493</v>
      </c>
      <c r="H8" s="35" t="s">
        <v>22</v>
      </c>
      <c r="I8" s="35"/>
      <c r="J8" s="33"/>
    </row>
    <row r="10" spans="1:10" ht="19.899999999999999" customHeight="1" x14ac:dyDescent="0.35">
      <c r="A10" s="42" t="s">
        <v>496</v>
      </c>
      <c r="B10" s="39"/>
      <c r="C10" s="39"/>
      <c r="D10" s="39"/>
      <c r="E10" s="39"/>
      <c r="F10" s="39"/>
      <c r="G10" s="39"/>
      <c r="H10" s="39"/>
      <c r="I10" s="39"/>
      <c r="J10" s="39"/>
    </row>
    <row r="11" spans="1:10" ht="37.9" customHeight="1" x14ac:dyDescent="0.35">
      <c r="A11" s="36" t="s">
        <v>225</v>
      </c>
      <c r="B11" s="40" t="s">
        <v>497</v>
      </c>
      <c r="C11" s="39"/>
      <c r="D11" s="39"/>
      <c r="E11" s="39"/>
      <c r="F11" s="39"/>
      <c r="G11" s="39"/>
      <c r="H11" s="39"/>
      <c r="I11" s="39"/>
      <c r="J11" s="39"/>
    </row>
    <row r="12" spans="1:10" ht="37.9" customHeight="1" x14ac:dyDescent="0.35">
      <c r="A12" s="36" t="s">
        <v>498</v>
      </c>
      <c r="B12" s="40" t="s">
        <v>499</v>
      </c>
      <c r="C12" s="39"/>
      <c r="D12" s="39"/>
      <c r="E12" s="39"/>
      <c r="F12" s="39"/>
      <c r="G12" s="39"/>
      <c r="H12" s="39"/>
      <c r="I12" s="39"/>
      <c r="J12" s="39"/>
    </row>
    <row r="13" spans="1:10" ht="37.9" customHeight="1" x14ac:dyDescent="0.35">
      <c r="A13" s="36" t="s">
        <v>229</v>
      </c>
      <c r="B13" s="40" t="s">
        <v>500</v>
      </c>
      <c r="C13" s="39"/>
      <c r="D13" s="39"/>
      <c r="E13" s="39"/>
      <c r="F13" s="39"/>
      <c r="G13" s="39"/>
      <c r="H13" s="39"/>
      <c r="I13" s="39"/>
      <c r="J13" s="39"/>
    </row>
  </sheetData>
  <mergeCells count="7">
    <mergeCell ref="B11:J11"/>
    <mergeCell ref="B13:J13"/>
    <mergeCell ref="A1:J2"/>
    <mergeCell ref="A3:J3"/>
    <mergeCell ref="A4:J4"/>
    <mergeCell ref="B12:J12"/>
    <mergeCell ref="A10:J1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6"/>
  <sheetViews>
    <sheetView showGridLines="0" topLeftCell="E1" zoomScale="79" zoomScaleNormal="79" workbookViewId="0">
      <pane ySplit="5" topLeftCell="A6" activePane="bottomLeft" state="frozen"/>
      <selection pane="bottomLeft" activeCell="H9" sqref="H9"/>
    </sheetView>
  </sheetViews>
  <sheetFormatPr defaultRowHeight="14.5" x14ac:dyDescent="0.35"/>
  <cols>
    <col min="1" max="1" width="16" customWidth="1"/>
    <col min="2" max="2" width="52" customWidth="1"/>
    <col min="3" max="3" width="14" customWidth="1"/>
    <col min="4" max="4" width="16" customWidth="1"/>
    <col min="5" max="5" width="10" customWidth="1"/>
    <col min="6" max="6" width="24" customWidth="1"/>
    <col min="7" max="7" width="40" customWidth="1"/>
    <col min="8" max="8" width="62" customWidth="1"/>
    <col min="9" max="9" width="10" customWidth="1"/>
    <col min="10" max="10" width="12" customWidth="1"/>
    <col min="11" max="11" width="52" customWidth="1"/>
  </cols>
  <sheetData>
    <row r="1" spans="1:11" ht="28.15" customHeight="1" x14ac:dyDescent="0.35">
      <c r="A1" s="50" t="s">
        <v>501</v>
      </c>
      <c r="B1" s="39"/>
      <c r="C1" s="39"/>
      <c r="D1" s="39"/>
      <c r="E1" s="39"/>
      <c r="F1" s="39"/>
      <c r="G1" s="39"/>
      <c r="H1" s="39"/>
      <c r="I1" s="39"/>
      <c r="J1" s="39"/>
      <c r="K1" s="39"/>
    </row>
    <row r="2" spans="1:11" ht="6" customHeight="1" x14ac:dyDescent="0.35">
      <c r="A2" s="39"/>
      <c r="B2" s="39"/>
      <c r="C2" s="39"/>
      <c r="D2" s="39"/>
      <c r="E2" s="39"/>
      <c r="F2" s="39"/>
      <c r="G2" s="39"/>
      <c r="H2" s="39"/>
      <c r="I2" s="39"/>
      <c r="J2" s="39"/>
      <c r="K2" s="39"/>
    </row>
    <row r="3" spans="1:11" ht="40.15" customHeight="1" x14ac:dyDescent="0.35">
      <c r="A3" s="45" t="s">
        <v>502</v>
      </c>
      <c r="B3" s="39"/>
      <c r="C3" s="39"/>
      <c r="D3" s="39"/>
      <c r="E3" s="39"/>
      <c r="F3" s="39"/>
      <c r="G3" s="39"/>
      <c r="H3" s="39"/>
      <c r="I3" s="39"/>
      <c r="J3" s="39"/>
      <c r="K3" s="39"/>
    </row>
    <row r="4" spans="1:11" ht="43.9" customHeight="1" x14ac:dyDescent="0.35">
      <c r="A4" s="45" t="s">
        <v>503</v>
      </c>
      <c r="B4" s="39"/>
      <c r="C4" s="39"/>
      <c r="D4" s="39"/>
      <c r="E4" s="39"/>
      <c r="F4" s="39"/>
      <c r="G4" s="39"/>
      <c r="H4" s="39"/>
      <c r="I4" s="39"/>
      <c r="J4" s="39"/>
      <c r="K4" s="39"/>
    </row>
    <row r="5" spans="1:11" ht="6" customHeight="1" x14ac:dyDescent="0.35"/>
    <row r="6" spans="1:11" ht="48" customHeight="1" x14ac:dyDescent="0.35">
      <c r="A6" s="21" t="s">
        <v>74</v>
      </c>
      <c r="B6" s="21" t="s">
        <v>504</v>
      </c>
      <c r="C6" s="21" t="s">
        <v>505</v>
      </c>
      <c r="D6" s="21" t="s">
        <v>506</v>
      </c>
      <c r="E6" s="21" t="s">
        <v>507</v>
      </c>
      <c r="F6" s="21" t="s">
        <v>508</v>
      </c>
      <c r="G6" s="21" t="s">
        <v>509</v>
      </c>
      <c r="H6" s="21" t="s">
        <v>510</v>
      </c>
      <c r="I6" s="21" t="s">
        <v>511</v>
      </c>
      <c r="J6" s="21" t="s">
        <v>512</v>
      </c>
      <c r="K6" s="21" t="s">
        <v>513</v>
      </c>
    </row>
    <row r="7" spans="1:11" ht="60" customHeight="1" x14ac:dyDescent="0.35">
      <c r="A7" s="28" t="s">
        <v>514</v>
      </c>
      <c r="B7" s="29" t="s">
        <v>164</v>
      </c>
      <c r="C7" s="28" t="s">
        <v>515</v>
      </c>
      <c r="D7" s="28" t="s">
        <v>516</v>
      </c>
      <c r="E7" s="28" t="s">
        <v>88</v>
      </c>
      <c r="F7" s="29" t="s">
        <v>166</v>
      </c>
      <c r="G7" s="29" t="s">
        <v>517</v>
      </c>
      <c r="H7" s="29" t="s">
        <v>518</v>
      </c>
      <c r="I7" s="28" t="s">
        <v>519</v>
      </c>
      <c r="J7" s="28" t="s">
        <v>89</v>
      </c>
      <c r="K7" s="29" t="s">
        <v>520</v>
      </c>
    </row>
    <row r="8" spans="1:11" ht="60" customHeight="1" x14ac:dyDescent="0.35">
      <c r="A8" s="35" t="s">
        <v>521</v>
      </c>
      <c r="B8" s="33" t="s">
        <v>169</v>
      </c>
      <c r="C8" s="35" t="s">
        <v>17</v>
      </c>
      <c r="D8" s="35" t="s">
        <v>127</v>
      </c>
      <c r="E8" s="35" t="s">
        <v>88</v>
      </c>
      <c r="F8" s="33" t="s">
        <v>522</v>
      </c>
      <c r="G8" s="33" t="s">
        <v>523</v>
      </c>
      <c r="H8" s="33" t="s">
        <v>524</v>
      </c>
      <c r="I8" s="35" t="s">
        <v>29</v>
      </c>
      <c r="J8" s="35" t="s">
        <v>89</v>
      </c>
      <c r="K8" s="33" t="s">
        <v>525</v>
      </c>
    </row>
    <row r="9" spans="1:11" ht="60" customHeight="1" x14ac:dyDescent="0.35">
      <c r="A9" s="35" t="s">
        <v>521</v>
      </c>
      <c r="B9" s="33" t="s">
        <v>173</v>
      </c>
      <c r="C9" s="35" t="s">
        <v>25</v>
      </c>
      <c r="D9" s="35" t="s">
        <v>144</v>
      </c>
      <c r="E9" s="35" t="s">
        <v>88</v>
      </c>
      <c r="F9" s="33" t="s">
        <v>522</v>
      </c>
      <c r="G9" s="33" t="s">
        <v>523</v>
      </c>
      <c r="H9" s="33" t="s">
        <v>526</v>
      </c>
      <c r="I9" s="35" t="s">
        <v>29</v>
      </c>
      <c r="J9" s="35" t="s">
        <v>89</v>
      </c>
      <c r="K9" s="33" t="s">
        <v>527</v>
      </c>
    </row>
    <row r="10" spans="1:11" ht="60" customHeight="1" x14ac:dyDescent="0.35">
      <c r="A10" s="35" t="s">
        <v>521</v>
      </c>
      <c r="B10" s="33" t="s">
        <v>176</v>
      </c>
      <c r="C10" s="35" t="s">
        <v>32</v>
      </c>
      <c r="D10" s="35" t="s">
        <v>139</v>
      </c>
      <c r="E10" s="35" t="s">
        <v>88</v>
      </c>
      <c r="F10" s="33" t="s">
        <v>528</v>
      </c>
      <c r="G10" s="33" t="s">
        <v>529</v>
      </c>
      <c r="H10" s="33" t="s">
        <v>530</v>
      </c>
      <c r="I10" s="35" t="s">
        <v>519</v>
      </c>
      <c r="J10" s="35" t="s">
        <v>89</v>
      </c>
      <c r="K10" s="33" t="s">
        <v>531</v>
      </c>
    </row>
    <row r="11" spans="1:11" ht="60" customHeight="1" x14ac:dyDescent="0.35">
      <c r="A11" s="35" t="s">
        <v>521</v>
      </c>
      <c r="B11" s="33" t="s">
        <v>179</v>
      </c>
      <c r="C11" s="35" t="s">
        <v>40</v>
      </c>
      <c r="D11" s="35" t="s">
        <v>139</v>
      </c>
      <c r="E11" s="35" t="s">
        <v>88</v>
      </c>
      <c r="F11" s="33" t="s">
        <v>532</v>
      </c>
      <c r="G11" s="33" t="s">
        <v>523</v>
      </c>
      <c r="H11" s="33" t="s">
        <v>533</v>
      </c>
      <c r="I11" s="35" t="s">
        <v>519</v>
      </c>
      <c r="J11" s="35" t="s">
        <v>89</v>
      </c>
      <c r="K11" s="33" t="s">
        <v>534</v>
      </c>
    </row>
    <row r="12" spans="1:11" ht="60" customHeight="1" x14ac:dyDescent="0.35">
      <c r="A12" s="35" t="s">
        <v>521</v>
      </c>
      <c r="B12" s="33" t="s">
        <v>181</v>
      </c>
      <c r="C12" s="35" t="s">
        <v>47</v>
      </c>
      <c r="D12" s="35" t="s">
        <v>127</v>
      </c>
      <c r="E12" s="35" t="s">
        <v>88</v>
      </c>
      <c r="F12" s="33" t="s">
        <v>522</v>
      </c>
      <c r="G12" s="33" t="s">
        <v>523</v>
      </c>
      <c r="H12" s="33" t="s">
        <v>535</v>
      </c>
      <c r="I12" s="35" t="s">
        <v>29</v>
      </c>
      <c r="J12" s="35" t="s">
        <v>89</v>
      </c>
      <c r="K12" s="33" t="s">
        <v>536</v>
      </c>
    </row>
    <row r="13" spans="1:11" ht="60" customHeight="1" x14ac:dyDescent="0.35">
      <c r="A13" s="35" t="s">
        <v>521</v>
      </c>
      <c r="B13" s="33" t="s">
        <v>183</v>
      </c>
      <c r="C13" s="35" t="s">
        <v>52</v>
      </c>
      <c r="D13" s="35" t="s">
        <v>105</v>
      </c>
      <c r="E13" s="35" t="s">
        <v>88</v>
      </c>
      <c r="F13" s="33" t="s">
        <v>522</v>
      </c>
      <c r="G13" s="33" t="s">
        <v>523</v>
      </c>
      <c r="H13" s="33" t="s">
        <v>537</v>
      </c>
      <c r="I13" s="35" t="s">
        <v>55</v>
      </c>
      <c r="J13" s="35" t="s">
        <v>89</v>
      </c>
      <c r="K13" s="33" t="s">
        <v>538</v>
      </c>
    </row>
    <row r="14" spans="1:11" ht="60" customHeight="1" x14ac:dyDescent="0.35">
      <c r="A14" s="35" t="s">
        <v>521</v>
      </c>
      <c r="B14" s="33" t="s">
        <v>185</v>
      </c>
      <c r="C14" s="35" t="s">
        <v>539</v>
      </c>
      <c r="D14" s="35" t="s">
        <v>144</v>
      </c>
      <c r="E14" s="35" t="s">
        <v>88</v>
      </c>
      <c r="F14" s="33" t="s">
        <v>166</v>
      </c>
      <c r="G14" s="33" t="s">
        <v>540</v>
      </c>
      <c r="H14" s="33" t="s">
        <v>541</v>
      </c>
      <c r="I14" s="35" t="s">
        <v>519</v>
      </c>
      <c r="J14" s="35" t="s">
        <v>89</v>
      </c>
      <c r="K14" s="33" t="s">
        <v>542</v>
      </c>
    </row>
    <row r="15" spans="1:11" ht="60" customHeight="1" x14ac:dyDescent="0.35">
      <c r="A15" s="35" t="s">
        <v>521</v>
      </c>
      <c r="B15" s="33" t="s">
        <v>188</v>
      </c>
      <c r="C15" s="35" t="s">
        <v>539</v>
      </c>
      <c r="D15" s="35" t="s">
        <v>144</v>
      </c>
      <c r="E15" s="35" t="s">
        <v>88</v>
      </c>
      <c r="F15" s="33" t="s">
        <v>22</v>
      </c>
      <c r="G15" s="33" t="s">
        <v>543</v>
      </c>
      <c r="H15" s="33" t="s">
        <v>544</v>
      </c>
      <c r="I15" s="35" t="s">
        <v>519</v>
      </c>
      <c r="J15" s="35" t="s">
        <v>89</v>
      </c>
      <c r="K15" s="33" t="s">
        <v>545</v>
      </c>
    </row>
    <row r="16" spans="1:11" ht="60" customHeight="1" x14ac:dyDescent="0.35">
      <c r="A16" s="17" t="s">
        <v>546</v>
      </c>
      <c r="B16" s="37" t="s">
        <v>547</v>
      </c>
      <c r="C16" s="17" t="s">
        <v>58</v>
      </c>
      <c r="D16" s="17" t="s">
        <v>87</v>
      </c>
      <c r="E16" s="17" t="s">
        <v>88</v>
      </c>
      <c r="F16" s="37" t="s">
        <v>58</v>
      </c>
      <c r="G16" s="37" t="s">
        <v>523</v>
      </c>
      <c r="H16" s="37" t="s">
        <v>548</v>
      </c>
      <c r="I16" s="17" t="s">
        <v>519</v>
      </c>
      <c r="J16" s="17" t="s">
        <v>128</v>
      </c>
      <c r="K16" s="37" t="s">
        <v>549</v>
      </c>
    </row>
  </sheetData>
  <mergeCells count="3">
    <mergeCell ref="A4:K4"/>
    <mergeCell ref="A1:K2"/>
    <mergeCell ref="A3:K3"/>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D9D84106166446A8C44A34C38DBD01" ma:contentTypeVersion="12" ma:contentTypeDescription="Create a new document." ma:contentTypeScope="" ma:versionID="e9ee013934f62cf780dd32be8c167197">
  <xsd:schema xmlns:xsd="http://www.w3.org/2001/XMLSchema" xmlns:xs="http://www.w3.org/2001/XMLSchema" xmlns:p="http://schemas.microsoft.com/office/2006/metadata/properties" xmlns:ns2="20d7c0fd-1794-42d5-91f7-05e729f7bb09" xmlns:ns3="1b84360c-a484-4a23-b45b-771d0fae43b0" targetNamespace="http://schemas.microsoft.com/office/2006/metadata/properties" ma:root="true" ma:fieldsID="3afe81e8fd29f0a900286c7cb4b7e465" ns2:_="" ns3:_="">
    <xsd:import namespace="20d7c0fd-1794-42d5-91f7-05e729f7bb09"/>
    <xsd:import namespace="1b84360c-a484-4a23-b45b-771d0fae43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7c0fd-1794-42d5-91f7-05e729f7bb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c4fd492-276b-4614-b3af-3a4c63b563f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84360c-a484-4a23-b45b-771d0fae43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d64ca47-2c71-4046-8055-8d80361ca6bc}" ma:internalName="TaxCatchAll" ma:showField="CatchAllData" ma:web="1b84360c-a484-4a23-b45b-771d0fae43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b84360c-a484-4a23-b45b-771d0fae43b0" xsi:nil="true"/>
    <lcf76f155ced4ddcb4097134ff3c332f xmlns="20d7c0fd-1794-42d5-91f7-05e729f7bb0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C9F6CB-4ED8-422F-890B-465FCA9252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d7c0fd-1794-42d5-91f7-05e729f7bb09"/>
    <ds:schemaRef ds:uri="1b84360c-a484-4a23-b45b-771d0fae43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6F58F5-5045-4660-BA5C-740C48892796}">
  <ds:schemaRefs>
    <ds:schemaRef ds:uri="http://schemas.microsoft.com/office/2006/metadata/properties"/>
    <ds:schemaRef ds:uri="1b84360c-a484-4a23-b45b-771d0fae43b0"/>
    <ds:schemaRef ds:uri="http://purl.org/dc/elements/1.1/"/>
    <ds:schemaRef ds:uri="http://schemas.microsoft.com/office/infopath/2007/PartnerControls"/>
    <ds:schemaRef ds:uri="http://www.w3.org/XML/1998/namespace"/>
    <ds:schemaRef ds:uri="http://schemas.openxmlformats.org/package/2006/metadata/core-properties"/>
    <ds:schemaRef ds:uri="http://schemas.microsoft.com/office/2006/documentManagement/types"/>
    <ds:schemaRef ds:uri="20d7c0fd-1794-42d5-91f7-05e729f7bb09"/>
    <ds:schemaRef ds:uri="http://purl.org/dc/dcmitype/"/>
    <ds:schemaRef ds:uri="http://purl.org/dc/terms/"/>
  </ds:schemaRefs>
</ds:datastoreItem>
</file>

<file path=customXml/itemProps3.xml><?xml version="1.0" encoding="utf-8"?>
<ds:datastoreItem xmlns:ds="http://schemas.openxmlformats.org/officeDocument/2006/customXml" ds:itemID="{C50705E7-CAE2-4CF1-A47B-DE168AD8A4DC}">
  <ds:schemaRefs>
    <ds:schemaRef ds:uri="http://schemas.microsoft.com/sharepoint/v3/contenttype/forms"/>
  </ds:schemaRefs>
</ds:datastoreItem>
</file>

<file path=docMetadata/LabelInfo.xml><?xml version="1.0" encoding="utf-8"?>
<clbl:labelList xmlns:clbl="http://schemas.microsoft.com/office/2020/mipLabelMetadata">
  <clbl:label id="{a7295cc1-d279-42ac-ab4d-3b0f4fece050}" enabled="1" method="Standard" siteId="{a19f121d-81e1-4858-a9d8-736e267fd4c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TP - Current State</vt:lpstr>
      <vt:lpstr>Discover</vt:lpstr>
      <vt:lpstr>Prepare</vt:lpstr>
      <vt:lpstr>Explore</vt:lpstr>
      <vt:lpstr>Realize</vt:lpstr>
      <vt:lpstr>Deploy</vt:lpstr>
      <vt:lpstr>Run</vt:lpstr>
      <vt:lpstr>Targetprocess | Stories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joellio.resende@fujitsu.com</dc:creator>
  <cp:keywords/>
  <dc:description/>
  <cp:lastModifiedBy>Awaghan, Nilesh</cp:lastModifiedBy>
  <cp:revision/>
  <dcterms:created xsi:type="dcterms:W3CDTF">2026-02-19T12:49:25Z</dcterms:created>
  <dcterms:modified xsi:type="dcterms:W3CDTF">2026-02-24T09:56:49Z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0x01010091D9D84106166446A8C44A34C38DBD01</vt:lpwstr>
  </property>
  <property fmtid="{D5CDD505-2E9C-101B-9397-08002B2CF9AE}" pid="3" name="MediaServiceImageTags">
    <vt:lpwstr/>
  </property>
</Properties>
</file>